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8c1f43455349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loop" sheetId="1" r:id="R984b026a893b434d"/>
    <x:sheet xmlns:r="http://schemas.openxmlformats.org/officeDocument/2006/relationships" name="Math Asset Matrix" sheetId="2" r:id="R3a605e7300814707"/>
    <x:sheet xmlns:r="http://schemas.openxmlformats.org/officeDocument/2006/relationships" name="GLB Geometry" sheetId="3" r:id="R71ee6bf72506488d"/>
    <x:sheet xmlns:r="http://schemas.openxmlformats.org/officeDocument/2006/relationships" name="OLS Map" sheetId="4" r:id="R81acea90978f4f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11">
    <x:font>
      <x:sz val="11"/>
      <x:name val="Carlito"/>
    </x:font>
    <x:font>
      <x:b/>
      <x:sz val="16"/>
      <x:color rgb="FF101828"/>
      <x:name val="Arial"/>
    </x:font>
    <x:font>
      <x:sz val="10"/>
      <x:name val="Arial"/>
    </x:font>
    <x:font>
      <x:b/>
      <x:sz val="10"/>
      <x:color rgb="FF475467"/>
      <x:name val="Arial"/>
    </x:font>
    <x:font>
      <x:sz val="11"/>
      <x:name val="Arial"/>
    </x:font>
    <x:font>
      <x:b/>
      <x:sz val="11"/>
      <x:color rgb="FFFFFFFF"/>
      <x:name val="Arial"/>
    </x:font>
    <x:font>
      <x:sz val="10"/>
      <x:color rgb="FF1D2939"/>
      <x:name val="Arial"/>
    </x:font>
    <x:font>
      <x:b/>
      <x:sz val="10"/>
      <x:color rgb="FFFFFFFF"/>
      <x:name val="Arial"/>
    </x:font>
    <x:font>
      <x:b/>
      <x:sz val="11"/>
      <x:color rgb="FF344054"/>
      <x:name val="Arial"/>
    </x:font>
    <x:font>
      <x:sz val="10"/>
      <x:color rgb="FF475467"/>
      <x:name val="Arial"/>
    </x:font>
    <x:font>
      <x:i/>
      <x:sz val="10"/>
      <x:color rgb="FF47546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44054"/>
      </x:patternFill>
    </x:fill>
  </x:fills>
  <x:borders count="3">
    <x:border/>
    <x:border>
      <x:bottom style="thin">
        <x:color rgb="FF667085"/>
      </x:bottom>
    </x:border>
    <x:border>
      <x:bottom style="medium">
        <x:color rgb="FF101828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200" fontId="4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/>
    </x:xf>
    <x:xf numFmtId="0" fontId="7" fillId="2" borderId="2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201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c200120ef845be" /><Relationship Type="http://schemas.openxmlformats.org/officeDocument/2006/relationships/theme" Target="/xl/theme/theme1.xml" Id="R7aff0f7ef00f4af4" /><Relationship Type="http://schemas.openxmlformats.org/officeDocument/2006/relationships/sharedStrings" Target="/xl/sharedStrings.xml" Id="Re53766014b1f4406" /><Relationship Type="http://schemas.openxmlformats.org/officeDocument/2006/relationships/worksheet" Target="/xl/worksheets/sheet1.xml" Id="R984b026a893b434d" /><Relationship Type="http://schemas.openxmlformats.org/officeDocument/2006/relationships/worksheet" Target="/xl/worksheets/sheet2.xml" Id="R3a605e7300814707" /><Relationship Type="http://schemas.openxmlformats.org/officeDocument/2006/relationships/worksheet" Target="/xl/worksheets/sheet3.xml" Id="R71ee6bf72506488d" /><Relationship Type="http://schemas.openxmlformats.org/officeDocument/2006/relationships/worksheet" Target="/xl/worksheets/sheet4.xml" Id="R81acea90978f4fcd" /></Relationships>
</file>

<file path=xl/tables/table1.xml><?xml version="1.0" encoding="utf-8"?>
<x:table xmlns:x="http://schemas.openxmlformats.org/spreadsheetml/2006/main" id="1" name="MathAssetMatrixTable" displayName="MathAssetMatrixTable" ref="A5:Q72" headerRowCount="1" totalsRowCount="0" totalsRowShown="0">
  <x:tableColumns count="17">
    <x:tableColumn id="1" name="asset_id"/>
    <x:tableColumn id="2" name="asset_family"/>
    <x:tableColumn id="3" name="asset_type"/>
    <x:tableColumn id="4" name="source_collection"/>
    <x:tableColumn id="5" name="source_file"/>
    <x:tableColumn id="6" name="formal_object"/>
    <x:tableColumn id="7" name="inputs"/>
    <x:tableColumn id="8" name="transform"/>
    <x:tableColumn id="9" name="output"/>
    <x:tableColumn id="10" name="unit_or_space"/>
    <x:tableColumn id="11" name="verification_status"/>
    <x:tableColumn id="12" name="evidence_class"/>
    <x:tableColumn id="13" name="binder_role"/>
    <x:tableColumn id="14" name="legacy_labels"/>
    <x:tableColumn id="15" name="neutral_terms"/>
    <x:tableColumn id="16" name="claim_boundary"/>
    <x:tableColumn id="17" name="sha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lbGeometryTable" displayName="GlbGeometryTable" ref="A5:T16" headerRowCount="1" totalsRowCount="0" totalsRowShown="0">
  <x:tableColumns count="20">
    <x:tableColumn id="1" name="asset_id"/>
    <x:tableColumn id="2" name="source_collection"/>
    <x:tableColumn id="3" name="file_name"/>
    <x:tableColumn id="4" name="evidence_class"/>
    <x:tableColumn id="5" name="sha256"/>
    <x:tableColumn id="6" name="bytes"/>
    <x:tableColumn id="7" name="nodes"/>
    <x:tableColumn id="8" name="meshes"/>
    <x:tableColumn id="9" name="materials"/>
    <x:tableColumn id="10" name="animations"/>
    <x:tableColumn id="11" name="animation_channels"/>
    <x:tableColumn id="12" name="candidate_vectors"/>
    <x:tableColumn id="13" name="bbox_x"/>
    <x:tableColumn id="14" name="bbox_y"/>
    <x:tableColumn id="15" name="bbox_z"/>
    <x:tableColumn id="16" name="azimuth_min_deg"/>
    <x:tableColumn id="17" name="azimuth_max_deg"/>
    <x:tableColumn id="18" name="elevation_min_deg"/>
    <x:tableColumn id="19" name="elevation_max_deg"/>
    <x:tableColumn id="20" name="semantic_boundary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OlsDecoderTable" displayName="OlsDecoderTable" ref="A5:F22" headerRowCount="1" totalsRowCount="0" totalsRowShown="0">
  <x:tableColumns count="6">
    <x:tableColumn id="1" name="token"/>
    <x:tableColumn id="2" name="class"/>
    <x:tableColumn id="3" name="neutral_reading"/>
    <x:tableColumn id="4" name="decoder_required"/>
    <x:tableColumn id="5" name="allowed_use"/>
    <x:tableColumn id="6" name="prohibited_inference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848c571ca74ca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e47f08739d46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22ab6cfbdce422c" /></Relationships>
</file>

<file path=xl/worksheets/sheet1.xml><?xml version="1.0" encoding="utf-8"?>
<x:worksheet xmlns:x="http://schemas.openxmlformats.org/spreadsheetml/2006/main">
  <x:sheetPr>
    <x:tabColor rgb="FF101828"/>
  </x:sheetPr>
  <x:sheetViews>
    <x:sheetView showGridLines="0" workbookViewId="0"/>
  </x:sheetViews>
  <x:sheetFormatPr defaultRowHeight="15"/>
  <x:cols>
    <x:col min="1" max="1" width="23" hidden="0" customWidth="1"/>
    <x:col min="2" max="2" width="28" hidden="0" customWidth="1"/>
    <x:col min="3" max="3" width="29" hidden="0" customWidth="1"/>
    <x:col min="4" max="4" width="24" hidden="0" customWidth="1"/>
    <x:col min="5" max="5" width="20" hidden="0" customWidth="1"/>
    <x:col min="6" max="6" width="26" hidden="0" customWidth="1"/>
    <x:col min="7" max="7" width="40" hidden="0" customWidth="1"/>
  </x:cols>
  <x:sheetData>
    <x:row r="1" ht="2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0" customHeight="1">
      <x:c r="A2" s="2" t="str">
        <x:v>NEXAH Math–Asset Matrix · Mission-Control Backloop</x:v>
      </x:c>
    </x:row>
    <x:row r="3" ht="20" customHeight="1"/>
    <x:row r="4" ht="20" customHeight="1">
      <x:c r="A4" s="4" t="str">
        <x:v>Scope</x:v>
      </x:c>
      <x:c r="B4" t="str">
        <x:v>ACR binder slice, GLB structure, OLS vocabulary, typed number/glyph bridges, prospective adapter and number gates</x:v>
      </x:c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</x:row>
    <x:row r="5" ht="20" customHeight="1"/>
    <x:row r="6" ht="20" customHeight="1">
      <x:c r="A6" s="7" t="str">
        <x:v>Control</x:v>
      </x:c>
      <x:c r="B6" s="7" t="str">
        <x:v>Value</x:v>
      </x:c>
      <x:c r="D6" s="15" t="str">
        <x:v>Backloop gate</x:v>
      </x:c>
      <x:c r="E6" s="15" t="str">
        <x:v>State</x:v>
      </x:c>
      <x:c r="F6" s="15" t="str">
        <x:v>Evidence</x:v>
      </x:c>
      <x:c r="G6" s="15" t="str">
        <x:v>Next action</x:v>
      </x:c>
    </x:row>
    <x:row r="7" ht="32" customHeight="1">
      <x:c r="A7" s="5" t="str">
        <x:v>Matrix records</x:v>
      </x:c>
      <x:c r="B7" s="8" t="n">
        <x:v>67</x:v>
      </x:c>
      <x:c r="D7" s="16" t="str">
        <x:v>GLB geometry extraction</x:v>
      </x:c>
      <x:c r="E7" s="16" t="str">
        <x:v>COMPLETE</x:v>
      </x:c>
      <x:c r="F7" s="16" t="str">
        <x:v>11/11 parsed</x:v>
      </x:c>
      <x:c r="G7" s="16" t="str">
        <x:v>Keep semantic interpretation separate</x:v>
      </x:c>
    </x:row>
    <x:row r="8" ht="32" customHeight="1">
      <x:c r="A8" s="5" t="str">
        <x:v>ACR records</x:v>
      </x:c>
      <x:c r="B8" s="8" t="n">
        <x:v>35</x:v>
      </x:c>
      <x:c r="D8" s="16" t="str">
        <x:v>ACR binder extension</x:v>
      </x:c>
      <x:c r="E8" s="16" t="str">
        <x:v>CROSS-DATASET PASS</x:v>
      </x:c>
      <x:c r="F8" s="16" t="str">
        <x:v>MIT-BIH 100/101 + UCI T1/T2</x:v>
      </x:c>
      <x:c r="G8" s="16" t="str">
        <x:v>Keep adapter pass separate from prediction and discrimination outcomes</x:v>
      </x:c>
    </x:row>
    <x:row r="9" ht="32" customHeight="1">
      <x:c r="A9" s="5" t="str">
        <x:v>GLB records</x:v>
      </x:c>
      <x:c r="B9" s="8" t="n">
        <x:f>COUNTIF('Math Asset Matrix'!B6:B57,"GLB")</x:f>
        <x:v>11</x:v>
      </x:c>
      <x:c r="D9" s="16" t="str">
        <x:v>OLS / legacy map</x:v>
      </x:c>
      <x:c r="E9" s="16" t="str">
        <x:v>CONTROLLED</x:v>
      </x:c>
      <x:c r="F9" s="16" t="str">
        <x:v>17 decoder boundaries</x:v>
      </x:c>
      <x:c r="G9" s="16" t="str">
        <x:v>Add source-specific letter/number rules only with decoder</x:v>
      </x:c>
    </x:row>
    <x:row r="10" ht="32" customHeight="1">
      <x:c r="A10" s="5" t="str">
        <x:v>OLS records</x:v>
      </x:c>
      <x:c r="B10" s="8" t="n">
        <x:v>17</x:v>
      </x:c>
      <x:c r="D10" s="16" t="str">
        <x:v>Hz/Fz profile activation</x:v>
      </x:c>
      <x:c r="E10" s="16" t="str">
        <x:v>BLOCKED</x:v>
      </x:c>
      <x:c r="F10" s="16" t="str">
        <x:v>adapter transport is not profile evidence</x:v>
      </x:c>
      <x:c r="G10" s="16" t="str">
        <x:v>Do not activate from reversible identities or correlation</x:v>
      </x:c>
    </x:row>
    <x:row r="11" ht="32" customHeight="1">
      <x:c r="A11" s="5" t="str">
        <x:v>GLB parse errors</x:v>
      </x:c>
      <x:c r="B11" s="8" t="n">
        <x:v>0</x:v>
      </x:c>
      <x:c r="D11" s="16" t="str">
        <x:v>Mission-Control integration</x:v>
      </x:c>
      <x:c r="E11" s="16" t="str">
        <x:v>CURRENT</x:v>
      </x:c>
      <x:c r="F11" s="16" t="str">
        <x:v>67 records + sealed palindrome holdout receipt</x:v>
      </x:c>
      <x:c r="G11" s="16" t="str">
        <x:v>Keep result and control hashes linked</x:v>
      </x:c>
    </x:row>
    <x:row r="12" ht="32" customHeight="1">
      <x:c r="D12" s="16" t="str">
        <x:v>Scientific claim change</x:v>
      </x:c>
      <x:c r="E12" s="16" t="str">
        <x:v>NONE</x:v>
      </x:c>
      <x:c r="F12" s="16" t="str">
        <x:v>base-10 gate PASS (qualified); boundary exception non-decisive; theory unchanged</x:v>
      </x:c>
      <x:c r="G12" s="16" t="str">
        <x:v>New sealed interval with non-adjacent magnitude-matched controls and external witness</x:v>
      </x:c>
    </x:row>
    <x:row r="13" ht="20" customHeight="1"/>
    <x:row r="14" ht="20" customHeight="1">
      <x:c r="A14" s="15" t="str">
        <x:v>Binder sequence</x:v>
      </x:c>
      <x:c r="B14" s="15" t="str">
        <x:v>Purpose</x:v>
      </x:c>
      <x:c r="C14" s="15" t="str">
        <x:v>State</x:v>
      </x:c>
      <x:c r="D14" t="str"/>
      <x:c r="E14" t="str"/>
      <x:c r="F14" t="str"/>
      <x:c r="G14" t="str"/>
    </x:row>
    <x:row r="15" ht="26" customHeight="1">
      <x:c r="A15" s="10" t="str">
        <x:v>1 · ACR33</x:v>
      </x:c>
      <x:c r="B15" s="10" t="str">
        <x:v>Compatibility preflight</x:v>
      </x:c>
      <x:c r="C15" s="10" t="str">
        <x:v>EXECUTED_PASS</x:v>
      </x:c>
      <x:c r="D15" t="str"/>
      <x:c r="E15" t="str"/>
      <x:c r="F15" t="str"/>
      <x:c r="G15" t="str"/>
    </x:row>
    <x:row r="16" ht="26" customHeight="1">
      <x:c r="A16" s="10" t="str">
        <x:v>2 · ACR44</x:v>
      </x:c>
      <x:c r="B16" s="10" t="str">
        <x:v>Reversible A/B ↔ M/S coordinate lift</x:v>
      </x:c>
      <x:c r="C16" s="10" t="str">
        <x:v>EXECUTED_PASS</x:v>
      </x:c>
      <x:c r="D16" t="str"/>
      <x:c r="E16" t="str"/>
      <x:c r="F16" t="str"/>
      <x:c r="G16" t="str"/>
    </x:row>
    <x:row r="17" ht="26" customHeight="1">
      <x:c r="A17" s="10" t="str">
        <x:v>3 · ACR35</x:v>
      </x:c>
      <x:c r="B17" s="10" t="str">
        <x:v>Projection and orientation screen</x:v>
      </x:c>
      <x:c r="C17" s="10" t="str">
        <x:v>EXECUTED_PASS</x:v>
      </x:c>
      <x:c r="D17" t="str"/>
      <x:c r="E17" t="str"/>
      <x:c r="F17" t="str"/>
      <x:c r="G17" t="str"/>
    </x:row>
    <x:row r="18" ht="26" customHeight="1">
      <x:c r="A18" s="10" t="str">
        <x:v>4 · ACR43/45</x:v>
      </x:c>
      <x:c r="B18" s="10" t="str">
        <x:v>Event and return receipt</x:v>
      </x:c>
      <x:c r="C18" s="10" t="str">
        <x:v>EXECUTED_PASS</x:v>
      </x:c>
      <x:c r="D18" t="str"/>
      <x:c r="E18" t="str"/>
      <x:c r="F18" t="str"/>
      <x:c r="G18" t="str"/>
    </x:row>
    <x:row r="19" ht="20" customHeight="1"/>
    <x:row r="20" ht="20" customHeight="1">
      <x:c r="A20" s="17" t="str">
        <x:v>Interpretation boundary</x:v>
      </x:c>
      <x:c r="B20" t="str"/>
      <x:c r="C20" t="str"/>
      <x:c r="D20" t="str"/>
      <x:c r="E20" t="str"/>
      <x:c r="F20" t="str"/>
      <x:c r="G20" t="str"/>
    </x:row>
    <x:row r="21" ht="30" customHeight="1">
      <x:c r="A21" s="19" t="str">
        <x:v>The matrix links assets to declared operations. It does not make similarly shaped graphs, GLBs, letters, or numbers equivalent.</x:v>
      </x:c>
      <x:c r="B21" s="19" t="str"/>
      <x:c r="C21" s="19" t="str"/>
      <x:c r="D21" s="19" t="str"/>
      <x:c r="E21" s="19" t="str"/>
      <x:c r="F21" s="19" t="str"/>
      <x:c r="G21" s="19" t="str"/>
    </x:row>
    <x:row r="22" ht="30" customHeight="1">
      <x:c r="A22" s="19" t="str">
        <x:v>Polar and Cartesian views may be alternate coordinates on the same records. Refraction, shadow, and reflection remain hypotheses until a physical carrier and measurement protocol are declared.</x:v>
      </x:c>
      <x:c r="B22" s="19" t="str"/>
      <x:c r="C22" s="19" t="str"/>
      <x:c r="D22" s="19" t="str"/>
      <x:c r="E22" s="19" t="str"/>
      <x:c r="F22" s="19" t="str"/>
      <x:c r="G22" s="19" t="str"/>
    </x:row>
    <x:row r="23" ht="30" customHeight="1">
      <x:c r="A23" s="19" t="str">
        <x:v>Sources: OLS/glossary records; Number–Glyph Register; Number Relation Sandbox 01; sealed palindrome holdout; DMO-01; ACR suite; GLB catalogue; external adapter gates.</x:v>
      </x:c>
      <x:c r="B23" s="19" t="str"/>
      <x:c r="C23" s="19" t="str"/>
      <x:c r="D23" s="19" t="str"/>
      <x:c r="E23" s="19" t="str"/>
      <x:c r="F23" s="19" t="str"/>
      <x:c r="G23" s="19" t="str"/>
    </x:row>
  </x:sheetData>
  <x:mergeCells>
    <x:mergeCell ref="A21:G21"/>
    <x:mergeCell ref="A22:G22"/>
    <x:mergeCell ref="A23:G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5467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7" hidden="0" customWidth="1"/>
    <x:col min="4" max="4" width="25" hidden="0" customWidth="1"/>
    <x:col min="5" max="5" width="25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Math–Asset Matrix</x:v>
      </x:c>
    </x:row>
    <x:row r="4">
      <x:c r="A4" s="20" t="str">
        <x:v>One record per formal, geometry, or vocabulary asset. Filters preserve evidence and claim boundaries.</x:v>
      </x:c>
    </x:row>
    <x:row r="5">
      <x:c r="A5" s="15" t="str">
        <x:v>asset_id</x:v>
      </x:c>
      <x:c r="B5" s="15" t="str">
        <x:v>asset_family</x:v>
      </x:c>
      <x:c r="C5" s="15" t="str">
        <x:v>asset_type</x:v>
      </x:c>
      <x:c r="D5" s="15" t="str">
        <x:v>source_collection</x:v>
      </x:c>
      <x:c r="E5" s="15" t="str">
        <x:v>source_file</x:v>
      </x:c>
      <x:c r="F5" s="15" t="str">
        <x:v>formal_object</x:v>
      </x:c>
      <x:c r="G5" s="15" t="str">
        <x:v>inputs</x:v>
      </x:c>
      <x:c r="H5" s="15" t="str">
        <x:v>transform</x:v>
      </x:c>
      <x:c r="I5" s="15" t="str">
        <x:v>output</x:v>
      </x:c>
      <x:c r="J5" s="15" t="str">
        <x:v>unit_or_space</x:v>
      </x:c>
      <x:c r="K5" s="15" t="str">
        <x:v>verification_status</x:v>
      </x:c>
      <x:c r="L5" s="15" t="str">
        <x:v>evidence_class</x:v>
      </x:c>
      <x:c r="M5" s="15" t="str">
        <x:v>binder_role</x:v>
      </x:c>
      <x:c r="N5" s="15" t="str">
        <x:v>legacy_labels</x:v>
      </x:c>
      <x:c r="O5" s="15" t="str">
        <x:v>neutral_terms</x:v>
      </x:c>
      <x:c r="P5" s="15" t="str">
        <x:v>claim_boundary</x:v>
      </x:c>
      <x:c r="Q5" s="15" t="str">
        <x:v>sha256</x:v>
      </x:c>
    </x:row>
    <x:row r="6">
      <x:c r="A6" s="16" t="str">
        <x:v>ACR27</x:v>
      </x:c>
      <x:c r="B6" s="16" t="str">
        <x:v>ACR</x:v>
      </x:c>
      <x:c r="C6" s="16" t="str">
        <x:v>formal/test report</x:v>
      </x:c>
      <x:c r="D6" s="16" t="str">
        <x:v>ACR 27–45+ Testing</x:v>
      </x:c>
      <x:c r="E6" s="16" t="str">
        <x:v>NEXAH_ACR27_ANGLE_CLOSURE_TEST.md</x:v>
      </x:c>
      <x:c r="F6" s="16" t="str">
        <x:v>finite angle closure</x:v>
      </x:c>
      <x:c r="G6" s="16" t="str">
        <x:v>declared report fixtures</x:v>
      </x:c>
      <x:c r="H6" s="16" t="str">
        <x:v>Δθ=40°/3; 27Δθ=360°; 54Δθ=720°</x:v>
      </x:c>
      <x:c r="I6" s="16" t="str">
        <x:v>typed result/decision</x:v>
      </x:c>
      <x:c r="J6" s="16" t="str">
        <x:v>degree / modular angle</x:v>
      </x:c>
      <x:c r="K6" s="16" t="str">
        <x:v>SUPPORTED_EXACT</x:v>
      </x:c>
      <x:c r="L6" s="16" t="str">
        <x:v>SOURCE_REPORT_WITH_TEST_RESULT</x:v>
      </x:c>
      <x:c r="M6" s="16" t="str">
        <x:v>closure_reference</x:v>
      </x:c>
      <x:c r="N6" s="16" t="str">
        <x:v>ACR / marker names</x:v>
      </x:c>
      <x:c r="O6" s="16" t="str">
        <x:v>finite angle closure</x:v>
      </x:c>
      <x:c r="P6" s="16" t="str">
        <x:v>Does not validate 1331/272 or any physical mechanism.</x:v>
      </x:c>
      <x:c r="Q6" s="16" t="str">
        <x:v>f0765f0c6d7a91cd31d8b750e8a850cc2716eeea6e4f9404d2e7a9f19adf34fe</x:v>
      </x:c>
    </x:row>
    <x:row r="7">
      <x:c r="A7" s="16" t="str">
        <x:v>ACR33</x:v>
      </x:c>
      <x:c r="B7" s="16" t="str">
        <x:v>ACR</x:v>
      </x:c>
      <x:c r="C7" s="16" t="str">
        <x:v>formal/test report</x:v>
      </x:c>
      <x:c r="D7" s="16" t="str">
        <x:v>ACR 27–45+ Testing</x:v>
      </x:c>
      <x:c r="E7" s="16" t="str">
        <x:v>NEXAH_ACR33_COMPATIBILITY_TEST.md</x:v>
      </x:c>
      <x:c r="F7" s="16" t="str">
        <x:v>readout compatibility gate</x:v>
      </x:c>
      <x:c r="G7" s="16" t="str">
        <x:v>declared report fixtures</x:v>
      </x:c>
      <x:c r="H7" s="16" t="str">
        <x:v>R=(g,a,s,v,d,t); check scale, axis, speed, traversal, transducer</x:v>
      </x:c>
      <x:c r="I7" s="16" t="str">
        <x:v>typed result/decision</x:v>
      </x:c>
      <x:c r="J7" s="16" t="str">
        <x:v>typed readout tuple</x:v>
      </x:c>
      <x:c r="K7" s="16" t="str">
        <x:v>SUPPORTED_BOUNDED</x:v>
      </x:c>
      <x:c r="L7" s="16" t="str">
        <x:v>SOURCE_REPORT_WITH_TEST_RESULT</x:v>
      </x:c>
      <x:c r="M7" s="16" t="str">
        <x:v>preflight_gate</x:v>
      </x:c>
      <x:c r="N7" s="16" t="str">
        <x:v>ACR / marker names</x:v>
      </x:c>
      <x:c r="O7" s="16" t="str">
        <x:v>readout compatibility gate</x:v>
      </x:c>
      <x:c r="P7" s="16" t="str">
        <x:v>Compatibility is conditional; it is not semantic identity.</x:v>
      </x:c>
      <x:c r="Q7" s="16" t="str">
        <x:v>0b9b756d355ad58ecefa15e6a59bac8e76e53883fa5b127fa02e635590ca4cfd</x:v>
      </x:c>
    </x:row>
    <x:row r="8">
      <x:c r="A8" s="16" t="str">
        <x:v>ACR35</x:v>
      </x:c>
      <x:c r="B8" s="16" t="str">
        <x:v>ACR</x:v>
      </x:c>
      <x:c r="C8" s="16" t="str">
        <x:v>formal/test report</x:v>
      </x:c>
      <x:c r="D8" s="16" t="str">
        <x:v>ACR 27–45+ Testing</x:v>
      </x:c>
      <x:c r="E8" s="16" t="str">
        <x:v>NEXAH_ACR35_TEST_REPORT.md</x:v>
      </x:c>
      <x:c r="F8" s="16" t="str">
        <x:v>two-phase torus projection</x:v>
      </x:c>
      <x:c r="G8" s="16" t="str">
        <x:v>declared report fixtures</x:v>
      </x:c>
      <x:c r="H8" s="16" t="str">
        <x:v>(φx,φz)→(sin φx,sin φz); generic 4:1 projection</x:v>
      </x:c>
      <x:c r="I8" s="16" t="str">
        <x:v>typed result/decision</x:v>
      </x:c>
      <x:c r="J8" s="16" t="str">
        <x:v>phase torus / visible plane</x:v>
      </x:c>
      <x:c r="K8" s="16" t="str">
        <x:v>SUPPORTED_BOUNDED</x:v>
      </x:c>
      <x:c r="L8" s="16" t="str">
        <x:v>SOURCE_REPORT_WITH_TEST_RESULT</x:v>
      </x:c>
      <x:c r="M8" s="16" t="str">
        <x:v>projection_warning</x:v>
      </x:c>
      <x:c r="N8" s="16" t="str">
        <x:v>ACR / marker names</x:v>
      </x:c>
      <x:c r="O8" s="16" t="str">
        <x:v>two-phase torus projection</x:v>
      </x:c>
      <x:c r="P8" s="16" t="str">
        <x:v>Unique inverse requires order, derivatives, or an orientation key.</x:v>
      </x:c>
      <x:c r="Q8" s="16" t="str">
        <x:v>932c808e6085db0a7a84fe512baa5e1ed33409d046a2e6aa7c570edf13ffa0b5</x:v>
      </x:c>
    </x:row>
    <x:row r="9">
      <x:c r="A9" s="16" t="str">
        <x:v>ACR43</x:v>
      </x:c>
      <x:c r="B9" s="16" t="str">
        <x:v>ACR</x:v>
      </x:c>
      <x:c r="C9" s="16" t="str">
        <x:v>formal/test report</x:v>
      </x:c>
      <x:c r="D9" s="16" t="str">
        <x:v>ACR 27–45+ Testing</x:v>
      </x:c>
      <x:c r="E9" s="16" t="str">
        <x:v>NEXAH_ACR43_45_CLOSURE_NOTE.md</x:v>
      </x:c>
      <x:c r="F9" s="16" t="str">
        <x:v>event ledger</x:v>
      </x:c>
      <x:c r="G9" s="16" t="str">
        <x:v>declared report fixtures</x:v>
      </x:c>
      <x:c r="H9" s="16" t="str">
        <x:v>glyph→number→onset/beat→frequency→groove→signal</x:v>
      </x:c>
      <x:c r="I9" s="16" t="str">
        <x:v>typed result/decision</x:v>
      </x:c>
      <x:c r="J9" s="16" t="str">
        <x:v>ordered event record</x:v>
      </x:c>
      <x:c r="K9" s="16" t="str">
        <x:v>SUPPORTED_DOCUMENTARY</x:v>
      </x:c>
      <x:c r="L9" s="16" t="str">
        <x:v>SOURCE_REPORT_WITH_TEST_RESULT</x:v>
      </x:c>
      <x:c r="M9" s="16" t="str">
        <x:v>receipt_ledger</x:v>
      </x:c>
      <x:c r="N9" s="16" t="str">
        <x:v>ACR / marker names</x:v>
      </x:c>
      <x:c r="O9" s="16" t="str">
        <x:v>event ledger</x:v>
      </x:c>
      <x:c r="P9" s="16" t="str">
        <x:v>Equal scheduling representations do not prove one physical carrier.</x:v>
      </x:c>
      <x:c r="Q9" s="16" t="str">
        <x:v>d990e2254ff325dcec5e1cd3fcb73492e220841dd8219456b9524f3cde57a85c</x:v>
      </x:c>
    </x:row>
    <x:row r="10">
      <x:c r="A10" s="16" t="str">
        <x:v>ACR44</x:v>
      </x:c>
      <x:c r="B10" s="16" t="str">
        <x:v>ACR</x:v>
      </x:c>
      <x:c r="C10" s="16" t="str">
        <x:v>formal/test report</x:v>
      </x:c>
      <x:c r="D10" s="16" t="str">
        <x:v>ACR 27–45+ Testing</x:v>
      </x:c>
      <x:c r="E10" s="16" t="str">
        <x:v>NEXAH_ACR44_TEST_REPORT.md</x:v>
      </x:c>
      <x:c r="F10" s="16" t="str">
        <x:v>invertible two-axis reconstruction</x:v>
      </x:c>
      <x:c r="G10" s="16" t="str">
        <x:v>declared report fixtures</x:v>
      </x:c>
      <x:c r="H10" s="16" t="str">
        <x:v>M=(Ix+Iz)/2; S=(Ix−Iz)/2; Ix=M+S; Iz=M−S</x:v>
      </x:c>
      <x:c r="I10" s="16" t="str">
        <x:v>typed result/decision</x:v>
      </x:c>
      <x:c r="J10" s="16" t="str">
        <x:v>two-axis linear basis</x:v>
      </x:c>
      <x:c r="K10" s="16" t="str">
        <x:v>SUPPORTED_EXACT</x:v>
      </x:c>
      <x:c r="L10" s="16" t="str">
        <x:v>SOURCE_REPORT_WITH_TEST_RESULT</x:v>
      </x:c>
      <x:c r="M10" s="16" t="str">
        <x:v>coordinate_lift</x:v>
      </x:c>
      <x:c r="N10" s="16" t="str">
        <x:v>ACR / marker names</x:v>
      </x:c>
      <x:c r="O10" s="16" t="str">
        <x:v>invertible two-axis reconstruction</x:v>
      </x:c>
      <x:c r="P10" s="16" t="str">
        <x:v>Event origin remains dependent on start and direction metadata.</x:v>
      </x:c>
      <x:c r="Q10" s="16" t="str">
        <x:v>1f5215b1a1410388101387a822d6c73d1f09433adcdfd8415070714acb9df512</x:v>
      </x:c>
    </x:row>
    <x:row r="11">
      <x:c r="A11" s="16" t="str">
        <x:v>ACR45</x:v>
      </x:c>
      <x:c r="B11" s="16" t="str">
        <x:v>ACR</x:v>
      </x:c>
      <x:c r="C11" s="16" t="str">
        <x:v>formal/test report</x:v>
      </x:c>
      <x:c r="D11" s="16" t="str">
        <x:v>ACR 27–45+ Testing</x:v>
      </x:c>
      <x:c r="E11" s="16" t="str">
        <x:v>NEXAH_ACR43_45_CLOSURE_NOTE.md</x:v>
      </x:c>
      <x:c r="F11" s="16" t="str">
        <x:v>multimodal closure package</x:v>
      </x:c>
      <x:c r="G11" s="16" t="str">
        <x:v>declared report fixtures</x:v>
      </x:c>
      <x:c r="H11" s="16" t="str">
        <x:v>registered media and event ledger</x:v>
      </x:c>
      <x:c r="I11" s="16" t="str">
        <x:v>typed result/decision</x:v>
      </x:c>
      <x:c r="J11" s="16" t="str">
        <x:v>multimodal receipt</x:v>
      </x:c>
      <x:c r="K11" s="16" t="str">
        <x:v>SUPPORTED_DOCUMENTARY</x:v>
      </x:c>
      <x:c r="L11" s="16" t="str">
        <x:v>SOURCE_REPORT_WITH_TEST_RESULT</x:v>
      </x:c>
      <x:c r="M11" s="16" t="str">
        <x:v>return_package</x:v>
      </x:c>
      <x:c r="N11" s="16" t="str">
        <x:v>ACR / marker names</x:v>
      </x:c>
      <x:c r="O11" s="16" t="str">
        <x:v>multimodal closure package</x:v>
      </x:c>
      <x:c r="P11" s="16" t="str">
        <x:v>A film binder is not proof of physical synchrony.</x:v>
      </x:c>
      <x:c r="Q11" s="16" t="str">
        <x:v>d990e2254ff325dcec5e1cd3fcb73492e220841dd8219456b9524f3cde57a85c</x:v>
      </x:c>
    </x:row>
    <x:row r="12">
      <x:c r="A12" s="16" t="str">
        <x:v>BINDER-ACR-V0.2</x:v>
      </x:c>
      <x:c r="B12" s="16" t="str">
        <x:v>ACR</x:v>
      </x:c>
      <x:c r="C12" s="16" t="str">
        <x:v>executed runtime adapter</x:v>
      </x:c>
      <x:c r="D12" s="16" t="str">
        <x:v>HZ/FZ Compass-Binder</x:v>
      </x:c>
      <x:c r="E12" s="16" t="str">
        <x:v>COMPASS_BINDER_V0_2_ACR_EXECUTION.json</x:v>
      </x:c>
      <x:c r="F12" s="16" t="str">
        <x:v>ACR33 preflight + ACR44 reversible coordinate lift</x:v>
      </x:c>
      <x:c r="G12" s="16" t="str">
        <x:v>v0.1 observed vector and paired-cut metadata</x:v>
      </x:c>
      <x:c r="H12" s="16" t="str">
        <x:v>A,B→M=(A+B)/2,S=(A−B)/2→A'=M+S,B'=M−S</x:v>
      </x:c>
      <x:c r="I12" s="16" t="str">
        <x:v>PASS_REVERSIBLE_LOCAL_ADAPTER; max error=0</x:v>
      </x:c>
      <x:c r="J12" s="16" t="str">
        <x:v>J/cycle two-axis basis</x:v>
      </x:c>
      <x:c r="K12" s="16" t="str">
        <x:v>PASS_REVERSIBLE_LOCAL_ADAPTER</x:v>
      </x:c>
      <x:c r="L12" s="16" t="str">
        <x:v>LOCAL_EXECUTION_WITH_SHA256_RECEIPT</x:v>
      </x:c>
      <x:c r="M12" s="16" t="str">
        <x:v>active_local_adapter</x:v>
      </x:c>
      <x:c r="N12" s="16" t="str">
        <x:v>two cuts / two axes</x:v>
      </x:c>
      <x:c r="O12" s="16" t="str">
        <x:v>reversible coordinate change</x:v>
      </x:c>
      <x:c r="P12" s="16" t="str">
        <x:v>Local adapter pass only; profile activation and scientific claim status remain unchanged.</x:v>
      </x:c>
      <x:c r="Q12" s="16" t="str">
        <x:v>0f02e7afe2c1e0d603fec78e061bc9cbccaa65011da692f2cab4c7be18ae8c60</x:v>
      </x:c>
    </x:row>
    <x:row r="13">
      <x:c r="A13" s="16" t="str">
        <x:v>BINDER-ACR-V0.3</x:v>
      </x:c>
      <x:c r="B13" s="16" t="str">
        <x:v>ACR</x:v>
      </x:c>
      <x:c r="C13" s="16" t="str">
        <x:v>projection and return receipt</x:v>
      </x:c>
      <x:c r="D13" s="16" t="str">
        <x:v>HZ/FZ Compass-Binder</x:v>
      </x:c>
      <x:c r="E13" s="16" t="str">
        <x:v>COMPASS_BINDER_V0_3_ACR_RETURN_RECEIPT.json</x:v>
      </x:c>
      <x:c r="F13" s="16" t="str">
        <x:v>ACR35 screen + ACR43 event ledger + ACR45 return container</x:v>
      </x:c>
      <x:c r="G13" s="16" t="str">
        <x:v>v0.1 contrast record and v0.2 local adapter receipt</x:v>
      </x:c>
      <x:c r="H13" s="16" t="str">
        <x:v>Cartesian↔polar screen; ordered SHA-256 event chain</x:v>
      </x:c>
      <x:c r="I13" s="16" t="str">
        <x:v>PASS_ACR_PROJECTION_AND_RETURN_RECEIPT; polar error=1.6e-14; events=6</x:v>
      </x:c>
      <x:c r="J13" s="16" t="str">
        <x:v>J/cycle polar view + ordinal ledger</x:v>
      </x:c>
      <x:c r="K13" s="16" t="str">
        <x:v>PASS_ACR_PROJECTION_AND_RETURN_RECEIPT</x:v>
      </x:c>
      <x:c r="L13" s="16" t="str">
        <x:v>LOCAL_EXECUTION_WITH_HASH_CHAIN</x:v>
      </x:c>
      <x:c r="M13" s="16" t="str">
        <x:v>projection_and_return_adapter</x:v>
      </x:c>
      <x:c r="N13" s="16" t="str">
        <x:v>shadow / compass / film binder</x:v>
      </x:c>
      <x:c r="O13" s="16" t="str">
        <x:v>coordinate screen and ordered receipt</x:v>
      </x:c>
      <x:c r="P13" s="16" t="str">
        <x:v>Direct polar display is not a sine-phase projection; the return container does not prove physical synchrony.</x:v>
      </x:c>
      <x:c r="Q13" s="16" t="str">
        <x:v>990099764be3de9adb7ec1f77644ac26ec43458053b8cf58273bb8a58860021e</x:v>
      </x:c>
    </x:row>
    <x:row r="14">
      <x:c r="A14" s="16" t="str">
        <x:v>BINDER-ACR-V0.3-CONTROLS</x:v>
      </x:c>
      <x:c r="B14" s="16" t="str">
        <x:v>ACR</x:v>
      </x:c>
      <x:c r="C14" s="16" t="str">
        <x:v>destruction-control result</x:v>
      </x:c>
      <x:c r="D14" s="16" t="str">
        <x:v>HZ/FZ Compass-Binder</x:v>
      </x:c>
      <x:c r="E14" s="16" t="str">
        <x:v>COMPASS_BINDER_V0_3_DESTRUCTION_CONTROLS.json</x:v>
      </x:c>
      <x:c r="F14" s="16" t="str">
        <x:v>orientation, order, hash and claim mutation controls</x:v>
      </x:c>
      <x:c r="G14" s="16" t="str">
        <x:v>v0.3 return receipt</x:v>
      </x:c>
      <x:c r="H14" s="16" t="str">
        <x:v>remove, permute and alter one field per control</x:v>
      </x:c>
      <x:c r="I14" s="16" t="str">
        <x:v>PASS_ALL_DESTRUCTION_CONTROLS; controls=5</x:v>
      </x:c>
      <x:c r="J14" s="16" t="str">
        <x:v>binary accept/reject</x:v>
      </x:c>
      <x:c r="K14" s="16" t="str">
        <x:v>PASS_ALL_DESTRUCTION_CONTROLS</x:v>
      </x:c>
      <x:c r="L14" s="16" t="str">
        <x:v>LOCAL_NEGATIVE_CONTROL_EXECUTION</x:v>
      </x:c>
      <x:c r="M14" s="16" t="str">
        <x:v>terminal_audit</x:v>
      </x:c>
      <x:c r="N14" s="16" t="str">
        <x:v>tamper / missing key</x:v>
      </x:c>
      <x:c r="O14" s="16" t="str">
        <x:v>destruction controls</x:v>
      </x:c>
      <x:c r="P14" s="16" t="str">
        <x:v>Control pass validates receipt sensitivity, not the underlying scientific hypothesis.</x:v>
      </x:c>
      <x:c r="Q14" s="16" t="str">
        <x:v>36800aaae0b7878ca3ae10d0eb20ba1b19859e9132a6cb078e866b383055dfc2</x:v>
      </x:c>
    </x:row>
    <x:row r="15">
      <x:c r="A15" s="16" t="str">
        <x:v>ACR-2C-SELECTION</x:v>
      </x:c>
      <x:c r="B15" s="16" t="str">
        <x:v>ACR</x:v>
      </x:c>
      <x:c r="C15" s="16" t="str">
        <x:v>frozen carrier selection</x:v>
      </x:c>
      <x:c r="D15" s="16" t="str">
        <x:v>ACR Second-Carrier Replication 01</x:v>
      </x:c>
      <x:c r="E15" s="16" t="str">
        <x:v>SECOND_CARRIER_SELECTION.json</x:v>
      </x:c>
      <x:c r="F15" s="16" t="str">
        <x:v>ACR33 candidate screen</x:v>
      </x:c>
      <x:c r="G15" s="16" t="str">
        <x:v>BTC legacy orphan; observer fixture; OY cold/warm rate pair</x:v>
      </x:c>
      <x:c r="H15" s="16" t="str">
        <x:v>apply frozen admissibility rule before adapter execution</x:v>
      </x:c>
      <x:c r="I15" s="16" t="str">
        <x:v>OY selected; BTC rejected fail-closed</x:v>
      </x:c>
      <x:c r="J15" s="16" t="str">
        <x:v>typed candidate ledger</x:v>
      </x:c>
      <x:c r="K15" s="16" t="str">
        <x:v>SELECTED_OY_BTC_REJECTED</x:v>
      </x:c>
      <x:c r="L15" s="16" t="str">
        <x:v>REPOSITORY_SELECTION_WITH_SHA256</x:v>
      </x:c>
      <x:c r="M15" s="16" t="str">
        <x:v>carrier_selection_gate</x:v>
      </x:c>
      <x:c r="N15" s="16" t="str">
        <x:v>BTC / OY / second carrier</x:v>
      </x:c>
      <x:c r="O15" s="16" t="str">
        <x:v>source-bound candidate screen</x:v>
      </x:c>
      <x:c r="P15" s="16" t="str">
        <x:v>Selection is procedural and repository-local; it is not a prospectively blinded result.</x:v>
      </x:c>
      <x:c r="Q15" s="16" t="str">
        <x:v>d7ee27163883b5ca078fa45b459fcad5b4930e90f74b63b068058679a8e97a2a</x:v>
      </x:c>
    </x:row>
    <x:row r="16">
      <x:c r="A16" s="16" t="str">
        <x:v>ACR-2C-OY</x:v>
      </x:c>
      <x:c r="B16" s="16" t="str">
        <x:v>ACR</x:v>
      </x:c>
      <x:c r="C16" s="16" t="str">
        <x:v>sealed second-carrier replication</x:v>
      </x:c>
      <x:c r="D16" s="16" t="str">
        <x:v>ACR Second-Carrier Replication 01</x:v>
      </x:c>
      <x:c r="E16" s="16" t="str">
        <x:v>SEALED_REPLICATION_RESULT.json</x:v>
      </x:c>
      <x:c r="F16" s="16" t="str">
        <x:v>ACR33/44/35/43/45 on OY cold/warm rates</x:v>
      </x:c>
      <x:c r="G16" s="16" t="str">
        <x:v>A=0.06348 s^-1; B=0.16456 s^-1; frozen seeds and trajectory hashes</x:v>
      </x:c>
      <x:c r="H16" s="16" t="str">
        <x:v>A/B↔M/S; direct Cartesian↔polar screen; ordered SHA-256 event chain</x:v>
      </x:c>
      <x:c r="I16" s="16" t="str">
        <x:v>PASS_INDEPENDENT_SYNTHETIC_CARRIER_REPLICATION; max error=1.39e-17; events=6</x:v>
      </x:c>
      <x:c r="J16" s="16" t="str">
        <x:v>s^-1 two-axis basis + ordinal ledger</x:v>
      </x:c>
      <x:c r="K16" s="16" t="str">
        <x:v>PASS_INDEPENDENT_SYNTHETIC_CARRIER_REPLICATION</x:v>
      </x:c>
      <x:c r="L16" s="16" t="str">
        <x:v>CLOSED_SYNTHETIC_DETERMINISTIC_REPLAY</x:v>
      </x:c>
      <x:c r="M16" s="16" t="str">
        <x:v>independent_second_carrier</x:v>
      </x:c>
      <x:c r="N16" s="16" t="str">
        <x:v>fire / ice / cold / warm</x:v>
      </x:c>
      <x:c r="O16" s="16" t="str">
        <x:v>source-bound transition-rate pair</x:v>
      </x:c>
      <x:c r="P16" s="16" t="str">
        <x:v>Sealed replay of an already closed synthetic result; no empirical confirmation, profile activation or claim change.</x:v>
      </x:c>
      <x:c r="Q16" s="16" t="str">
        <x:v>f3cc6d50d2d338c1aaaa1e060229d8fd7f4807277daf541c496da8804b4b4012</x:v>
      </x:c>
    </x:row>
    <x:row r="17">
      <x:c r="A17" s="16" t="str">
        <x:v>ACR-2C-CONTROLS</x:v>
      </x:c>
      <x:c r="B17" s="16" t="str">
        <x:v>ACR</x:v>
      </x:c>
      <x:c r="C17" s="16" t="str">
        <x:v>second-carrier destruction controls</x:v>
      </x:c>
      <x:c r="D17" s="16" t="str">
        <x:v>ACR Second-Carrier Replication 01</x:v>
      </x:c>
      <x:c r="E17" s="16" t="str">
        <x:v>DESTRUCTION_CONTROLS.json</x:v>
      </x:c>
      <x:c r="F17" s="16" t="str">
        <x:v>orientation, order, hash, unit and BTC fabrication controls</x:v>
      </x:c>
      <x:c r="G17" s="16" t="str">
        <x:v>sealed OY replication receipt</x:v>
      </x:c>
      <x:c r="H17" s="16" t="str">
        <x:v>remove orientation; permute events; alter hash; mismatch units; add BTC cut names</x:v>
      </x:c>
      <x:c r="I17" s="16" t="str">
        <x:v>PASS_ALL_DESTRUCTION_CONTROLS; controls=6</x:v>
      </x:c>
      <x:c r="J17" s="16" t="str">
        <x:v>binary accept/reject</x:v>
      </x:c>
      <x:c r="K17" s="16" t="str">
        <x:v>PASS_ALL_DESTRUCTION_CONTROLS</x:v>
      </x:c>
      <x:c r="L17" s="16" t="str">
        <x:v>LOCAL_NEGATIVE_CONTROL_EXECUTION</x:v>
      </x:c>
      <x:c r="M17" s="16" t="str">
        <x:v>terminal_audit</x:v>
      </x:c>
      <x:c r="N17" s="16" t="str">
        <x:v>BTC / tamper / missing key / wrong unit</x:v>
      </x:c>
      <x:c r="O17" s="16" t="str">
        <x:v>destruction controls</x:v>
      </x:c>
      <x:c r="P17" s="16" t="str">
        <x:v>Control pass validates fail-closed sensitivity, not the OY model or a BTC interpretation.</x:v>
      </x:c>
      <x:c r="Q17" s="16" t="str">
        <x:v>4690d890a05302943beb210d80099060e71aefad60dee2e623a51e6872bbef88</x:v>
      </x:c>
    </x:row>
    <x:row r="18">
      <x:c r="A18" s="16" t="str">
        <x:v>ACR28</x:v>
      </x:c>
      <x:c r="B18" s="16" t="str">
        <x:v>ACR</x:v>
      </x:c>
      <x:c r="C18" s="16" t="str">
        <x:v>catalogued suite item</x:v>
      </x:c>
      <x:c r="D18" s="16" t="str">
        <x:v>ACR 27–45+ Testing</x:v>
      </x:c>
      <x:c r="E18" s="16" t="str">
        <x:v>NEXAH_ACR28_COMPLEMENTARY_SPLIT_MARKER.png</x:v>
      </x:c>
      <x:c r="F18" s="16" t="str">
        <x:v>complementary split</x:v>
      </x:c>
      <x:c r="G18" s="16" t="str">
        <x:v>source-local fixture</x:v>
      </x:c>
      <x:c r="H18" s="16" t="str">
        <x:v>not bound in v0.2</x:v>
      </x:c>
      <x:c r="I18" s="16" t="str">
        <x:v>source-local result/marker</x:v>
      </x:c>
      <x:c r="J18" s="16" t="str">
        <x:v>source-local</x:v>
      </x:c>
      <x:c r="K18" s="16" t="str">
        <x:v>CATALOGUED_NOT_BOUND</x:v>
      </x:c>
      <x:c r="L18" s="16" t="str">
        <x:v>SUITE_INVENTORY</x:v>
      </x:c>
      <x:c r="M18" s="16" t="str">
        <x:v>none</x:v>
      </x:c>
      <x:c r="N18" s="16" t="str">
        <x:v>complementary split</x:v>
      </x:c>
      <x:c r="O18" s="16" t="str">
        <x:v>pending contract extraction</x:v>
      </x:c>
      <x:c r="P18" s="16" t="str">
        <x:v>Present in ACR suite; excluded from active binder until its contract is typed.</x:v>
      </x:c>
      <x:c r="Q18" s="16" t="str">
        <x:v>a7d9292f945d2263b00fe5e2be04a30657d54ee52c2205805b0c5ff680060c18</x:v>
      </x:c>
    </x:row>
    <x:row r="19">
      <x:c r="A19" s="16" t="str">
        <x:v>ACR29</x:v>
      </x:c>
      <x:c r="B19" s="16" t="str">
        <x:v>ACR</x:v>
      </x:c>
      <x:c r="C19" s="16" t="str">
        <x:v>catalogued suite item</x:v>
      </x:c>
      <x:c r="D19" s="16" t="str">
        <x:v>ACR 27–45+ Testing</x:v>
      </x:c>
      <x:c r="E19" s="16" t="str">
        <x:v>NEXAH_ACR29_PRIME_WHEEL_MARKER.png</x:v>
      </x:c>
      <x:c r="F19" s="16" t="str">
        <x:v>prime wheel</x:v>
      </x:c>
      <x:c r="G19" s="16" t="str">
        <x:v>source-local fixture</x:v>
      </x:c>
      <x:c r="H19" s="16" t="str">
        <x:v>not bound in v0.2</x:v>
      </x:c>
      <x:c r="I19" s="16" t="str">
        <x:v>source-local result/marker</x:v>
      </x:c>
      <x:c r="J19" s="16" t="str">
        <x:v>source-local</x:v>
      </x:c>
      <x:c r="K19" s="16" t="str">
        <x:v>CATALOGUED_NOT_BOUND</x:v>
      </x:c>
      <x:c r="L19" s="16" t="str">
        <x:v>SUITE_INVENTORY</x:v>
      </x:c>
      <x:c r="M19" s="16" t="str">
        <x:v>none</x:v>
      </x:c>
      <x:c r="N19" s="16" t="str">
        <x:v>prime wheel</x:v>
      </x:c>
      <x:c r="O19" s="16" t="str">
        <x:v>pending contract extraction</x:v>
      </x:c>
      <x:c r="P19" s="16" t="str">
        <x:v>Present in ACR suite; excluded from active binder until its contract is typed.</x:v>
      </x:c>
      <x:c r="Q19" s="16" t="str">
        <x:v>7a1a9bc632d88d4f739171601ee266e6b880ce6cb24ce4eae93ea0af2aec7e80</x:v>
      </x:c>
    </x:row>
    <x:row r="20">
      <x:c r="A20" s="16" t="str">
        <x:v>ACR30</x:v>
      </x:c>
      <x:c r="B20" s="16" t="str">
        <x:v>ACR</x:v>
      </x:c>
      <x:c r="C20" s="16" t="str">
        <x:v>catalogued suite item</x:v>
      </x:c>
      <x:c r="D20" s="16" t="str">
        <x:v>ACR 27–45+ Testing</x:v>
      </x:c>
      <x:c r="E20" s="16" t="str">
        <x:v>NEXAH_ACR30_SPHERICAL_DIGON_R2D2_MARKER.png</x:v>
      </x:c>
      <x:c r="F20" s="16" t="str">
        <x:v>spherical digon r2d2</x:v>
      </x:c>
      <x:c r="G20" s="16" t="str">
        <x:v>source-local fixture</x:v>
      </x:c>
      <x:c r="H20" s="16" t="str">
        <x:v>not bound in v0.2</x:v>
      </x:c>
      <x:c r="I20" s="16" t="str">
        <x:v>source-local result/marker</x:v>
      </x:c>
      <x:c r="J20" s="16" t="str">
        <x:v>source-local</x:v>
      </x:c>
      <x:c r="K20" s="16" t="str">
        <x:v>CATALOGUED_NOT_BOUND</x:v>
      </x:c>
      <x:c r="L20" s="16" t="str">
        <x:v>SUITE_INVENTORY</x:v>
      </x:c>
      <x:c r="M20" s="16" t="str">
        <x:v>none</x:v>
      </x:c>
      <x:c r="N20" s="16" t="str">
        <x:v>spherical digon r2d2</x:v>
      </x:c>
      <x:c r="O20" s="16" t="str">
        <x:v>pending contract extraction</x:v>
      </x:c>
      <x:c r="P20" s="16" t="str">
        <x:v>Present in ACR suite; excluded from active binder until its contract is typed.</x:v>
      </x:c>
      <x:c r="Q20" s="16" t="str">
        <x:v>c601c50c05f8c70ac43636d1349a3a2b8a5786e6d6904af0295633a1caa8295e</x:v>
      </x:c>
    </x:row>
    <x:row r="21">
      <x:c r="A21" s="16" t="str">
        <x:v>ACR31</x:v>
      </x:c>
      <x:c r="B21" s="16" t="str">
        <x:v>ACR</x:v>
      </x:c>
      <x:c r="C21" s="16" t="str">
        <x:v>catalogued suite item</x:v>
      </x:c>
      <x:c r="D21" s="16" t="str">
        <x:v>ACR 27–45+ Testing</x:v>
      </x:c>
      <x:c r="E21" s="16" t="str">
        <x:v>NEXAH_ACR31_GRAMOPHONE_READOUT_MARKER.png</x:v>
      </x:c>
      <x:c r="F21" s="16" t="str">
        <x:v>gramophone readout</x:v>
      </x:c>
      <x:c r="G21" s="16" t="str">
        <x:v>source-local fixture</x:v>
      </x:c>
      <x:c r="H21" s="16" t="str">
        <x:v>not bound in v0.2</x:v>
      </x:c>
      <x:c r="I21" s="16" t="str">
        <x:v>source-local result/marker</x:v>
      </x:c>
      <x:c r="J21" s="16" t="str">
        <x:v>source-local</x:v>
      </x:c>
      <x:c r="K21" s="16" t="str">
        <x:v>CATALOGUED_NOT_BOUND</x:v>
      </x:c>
      <x:c r="L21" s="16" t="str">
        <x:v>SUITE_INVENTORY</x:v>
      </x:c>
      <x:c r="M21" s="16" t="str">
        <x:v>none</x:v>
      </x:c>
      <x:c r="N21" s="16" t="str">
        <x:v>gramophone readout</x:v>
      </x:c>
      <x:c r="O21" s="16" t="str">
        <x:v>pending contract extraction</x:v>
      </x:c>
      <x:c r="P21" s="16" t="str">
        <x:v>Present in ACR suite; excluded from active binder until its contract is typed.</x:v>
      </x:c>
      <x:c r="Q21" s="16" t="str">
        <x:v>9034559653cb9b545c60664e928fdcb525455a2ac6ae6342eab59894622a22b5</x:v>
      </x:c>
    </x:row>
    <x:row r="22">
      <x:c r="A22" s="16" t="str">
        <x:v>ACR32</x:v>
      </x:c>
      <x:c r="B22" s="16" t="str">
        <x:v>ACR</x:v>
      </x:c>
      <x:c r="C22" s="16" t="str">
        <x:v>catalogued suite item</x:v>
      </x:c>
      <x:c r="D22" s="16" t="str">
        <x:v>ACR 27–45+ Testing</x:v>
      </x:c>
      <x:c r="E22" s="16" t="str">
        <x:v>NEXAH_ACR32_DUAL_CENTER_TONEARM_FREQUENCY_MARKER.png</x:v>
      </x:c>
      <x:c r="F22" s="16" t="str">
        <x:v>dual center tonearm frequency</x:v>
      </x:c>
      <x:c r="G22" s="16" t="str">
        <x:v>source-local fixture</x:v>
      </x:c>
      <x:c r="H22" s="16" t="str">
        <x:v>not bound in v0.2</x:v>
      </x:c>
      <x:c r="I22" s="16" t="str">
        <x:v>source-local result/marker</x:v>
      </x:c>
      <x:c r="J22" s="16" t="str">
        <x:v>source-local</x:v>
      </x:c>
      <x:c r="K22" s="16" t="str">
        <x:v>CATALOGUED_NOT_BOUND</x:v>
      </x:c>
      <x:c r="L22" s="16" t="str">
        <x:v>SUITE_INVENTORY</x:v>
      </x:c>
      <x:c r="M22" s="16" t="str">
        <x:v>none</x:v>
      </x:c>
      <x:c r="N22" s="16" t="str">
        <x:v>dual center tonearm frequency</x:v>
      </x:c>
      <x:c r="O22" s="16" t="str">
        <x:v>pending contract extraction</x:v>
      </x:c>
      <x:c r="P22" s="16" t="str">
        <x:v>Present in ACR suite; excluded from active binder until its contract is typed.</x:v>
      </x:c>
      <x:c r="Q22" s="16" t="str">
        <x:v>8dec4152e977be453c0563f29331afa44d6722da617370755ea6b40c72dd0d77</x:v>
      </x:c>
    </x:row>
    <x:row r="23">
      <x:c r="A23" s="16" t="str">
        <x:v>ACR34</x:v>
      </x:c>
      <x:c r="B23" s="16" t="str">
        <x:v>ACR</x:v>
      </x:c>
      <x:c r="C23" s="16" t="str">
        <x:v>catalogued suite item</x:v>
      </x:c>
      <x:c r="D23" s="16" t="str">
        <x:v>ACR 27–45+ Testing</x:v>
      </x:c>
      <x:c r="E23" s="16" t="str">
        <x:v>NEXAH_ACR34_RESULTS.json</x:v>
      </x:c>
      <x:c r="F23" s="16" t="str">
        <x:v>results</x:v>
      </x:c>
      <x:c r="G23" s="16" t="str">
        <x:v>source-local fixture</x:v>
      </x:c>
      <x:c r="H23" s="16" t="str">
        <x:v>not bound in v0.2</x:v>
      </x:c>
      <x:c r="I23" s="16" t="str">
        <x:v>source-local result/marker</x:v>
      </x:c>
      <x:c r="J23" s="16" t="str">
        <x:v>source-local</x:v>
      </x:c>
      <x:c r="K23" s="16" t="str">
        <x:v>CATALOGUED_NOT_BOUND</x:v>
      </x:c>
      <x:c r="L23" s="16" t="str">
        <x:v>SUITE_INVENTORY</x:v>
      </x:c>
      <x:c r="M23" s="16" t="str">
        <x:v>none</x:v>
      </x:c>
      <x:c r="N23" s="16" t="str">
        <x:v>results</x:v>
      </x:c>
      <x:c r="O23" s="16" t="str">
        <x:v>pending contract extraction</x:v>
      </x:c>
      <x:c r="P23" s="16" t="str">
        <x:v>Present in ACR suite; excluded from active binder until its contract is typed.</x:v>
      </x:c>
      <x:c r="Q23" s="16" t="str">
        <x:v>0e62ac0bea16f91148c7465f622dc04725d201c72ea0b4f4fefe1d6cdc19f000</x:v>
      </x:c>
    </x:row>
    <x:row r="24">
      <x:c r="A24" s="16" t="str">
        <x:v>ACR36</x:v>
      </x:c>
      <x:c r="B24" s="16" t="str">
        <x:v>ACR</x:v>
      </x:c>
      <x:c r="C24" s="16" t="str">
        <x:v>catalogued suite item</x:v>
      </x:c>
      <x:c r="D24" s="16" t="str">
        <x:v>ACR 27–45+ Testing</x:v>
      </x:c>
      <x:c r="E24" s="16" t="str">
        <x:v>NEXAH_ACR36_RESULTS.json</x:v>
      </x:c>
      <x:c r="F24" s="16" t="str">
        <x:v>results</x:v>
      </x:c>
      <x:c r="G24" s="16" t="str">
        <x:v>source-local fixture</x:v>
      </x:c>
      <x:c r="H24" s="16" t="str">
        <x:v>not bound in v0.2</x:v>
      </x:c>
      <x:c r="I24" s="16" t="str">
        <x:v>source-local result/marker</x:v>
      </x:c>
      <x:c r="J24" s="16" t="str">
        <x:v>source-local</x:v>
      </x:c>
      <x:c r="K24" s="16" t="str">
        <x:v>CATALOGUED_NOT_BOUND</x:v>
      </x:c>
      <x:c r="L24" s="16" t="str">
        <x:v>SUITE_INVENTORY</x:v>
      </x:c>
      <x:c r="M24" s="16" t="str">
        <x:v>none</x:v>
      </x:c>
      <x:c r="N24" s="16" t="str">
        <x:v>results</x:v>
      </x:c>
      <x:c r="O24" s="16" t="str">
        <x:v>pending contract extraction</x:v>
      </x:c>
      <x:c r="P24" s="16" t="str">
        <x:v>Present in ACR suite; excluded from active binder until its contract is typed.</x:v>
      </x:c>
      <x:c r="Q24" s="16" t="str">
        <x:v>95fe97efbc886b8e04ab9b31672fb7267c08ffe427dd4cf1fb7b44c18137304e</x:v>
      </x:c>
    </x:row>
    <x:row r="25">
      <x:c r="A25" s="16" t="str">
        <x:v>ACR37</x:v>
      </x:c>
      <x:c r="B25" s="16" t="str">
        <x:v>ACR</x:v>
      </x:c>
      <x:c r="C25" s="16" t="str">
        <x:v>catalogued suite item</x:v>
      </x:c>
      <x:c r="D25" s="16" t="str">
        <x:v>ACR 27–45+ Testing</x:v>
      </x:c>
      <x:c r="E25" s="16" t="str">
        <x:v>NEXAH_ACR37_RESULTS.json</x:v>
      </x:c>
      <x:c r="F25" s="16" t="str">
        <x:v>results</x:v>
      </x:c>
      <x:c r="G25" s="16" t="str">
        <x:v>source-local fixture</x:v>
      </x:c>
      <x:c r="H25" s="16" t="str">
        <x:v>not bound in v0.2</x:v>
      </x:c>
      <x:c r="I25" s="16" t="str">
        <x:v>source-local result/marker</x:v>
      </x:c>
      <x:c r="J25" s="16" t="str">
        <x:v>source-local</x:v>
      </x:c>
      <x:c r="K25" s="16" t="str">
        <x:v>CATALOGUED_NOT_BOUND</x:v>
      </x:c>
      <x:c r="L25" s="16" t="str">
        <x:v>SUITE_INVENTORY</x:v>
      </x:c>
      <x:c r="M25" s="16" t="str">
        <x:v>none</x:v>
      </x:c>
      <x:c r="N25" s="16" t="str">
        <x:v>results</x:v>
      </x:c>
      <x:c r="O25" s="16" t="str">
        <x:v>pending contract extraction</x:v>
      </x:c>
      <x:c r="P25" s="16" t="str">
        <x:v>Present in ACR suite; excluded from active binder until its contract is typed.</x:v>
      </x:c>
      <x:c r="Q25" s="16" t="str">
        <x:v>3000f7e45dc0b8f69e069bc49672bb9d32081e858ee2e062a1591d4db8d793e7</x:v>
      </x:c>
    </x:row>
    <x:row r="26">
      <x:c r="A26" s="16" t="str">
        <x:v>ACR38</x:v>
      </x:c>
      <x:c r="B26" s="16" t="str">
        <x:v>ACR</x:v>
      </x:c>
      <x:c r="C26" s="16" t="str">
        <x:v>catalogued suite item</x:v>
      </x:c>
      <x:c r="D26" s="16" t="str">
        <x:v>ACR 27–45+ Testing</x:v>
      </x:c>
      <x:c r="E26" s="16" t="str">
        <x:v>NEXAH_ACR38_RESULTS.json</x:v>
      </x:c>
      <x:c r="F26" s="16" t="str">
        <x:v>results</x:v>
      </x:c>
      <x:c r="G26" s="16" t="str">
        <x:v>source-local fixture</x:v>
      </x:c>
      <x:c r="H26" s="16" t="str">
        <x:v>not bound in v0.2</x:v>
      </x:c>
      <x:c r="I26" s="16" t="str">
        <x:v>source-local result/marker</x:v>
      </x:c>
      <x:c r="J26" s="16" t="str">
        <x:v>source-local</x:v>
      </x:c>
      <x:c r="K26" s="16" t="str">
        <x:v>CATALOGUED_NOT_BOUND</x:v>
      </x:c>
      <x:c r="L26" s="16" t="str">
        <x:v>SUITE_INVENTORY</x:v>
      </x:c>
      <x:c r="M26" s="16" t="str">
        <x:v>none</x:v>
      </x:c>
      <x:c r="N26" s="16" t="str">
        <x:v>results</x:v>
      </x:c>
      <x:c r="O26" s="16" t="str">
        <x:v>pending contract extraction</x:v>
      </x:c>
      <x:c r="P26" s="16" t="str">
        <x:v>Present in ACR suite; excluded from active binder until its contract is typed.</x:v>
      </x:c>
      <x:c r="Q26" s="16" t="str">
        <x:v>73d4df146b889a4721719915329aebc831d67f44536e73d94273da0628a114e4</x:v>
      </x:c>
    </x:row>
    <x:row r="27">
      <x:c r="A27" s="16" t="str">
        <x:v>ACR39</x:v>
      </x:c>
      <x:c r="B27" s="16" t="str">
        <x:v>ACR</x:v>
      </x:c>
      <x:c r="C27" s="16" t="str">
        <x:v>catalogued suite item</x:v>
      </x:c>
      <x:c r="D27" s="16" t="str">
        <x:v>ACR 27–45+ Testing</x:v>
      </x:c>
      <x:c r="E27" s="16" t="str">
        <x:v>NEXAH_ACR39_RESULTS.json</x:v>
      </x:c>
      <x:c r="F27" s="16" t="str">
        <x:v>results</x:v>
      </x:c>
      <x:c r="G27" s="16" t="str">
        <x:v>source-local fixture</x:v>
      </x:c>
      <x:c r="H27" s="16" t="str">
        <x:v>not bound in v0.2</x:v>
      </x:c>
      <x:c r="I27" s="16" t="str">
        <x:v>source-local result/marker</x:v>
      </x:c>
      <x:c r="J27" s="16" t="str">
        <x:v>source-local</x:v>
      </x:c>
      <x:c r="K27" s="16" t="str">
        <x:v>CATALOGUED_NOT_BOUND</x:v>
      </x:c>
      <x:c r="L27" s="16" t="str">
        <x:v>SUITE_INVENTORY</x:v>
      </x:c>
      <x:c r="M27" s="16" t="str">
        <x:v>none</x:v>
      </x:c>
      <x:c r="N27" s="16" t="str">
        <x:v>results</x:v>
      </x:c>
      <x:c r="O27" s="16" t="str">
        <x:v>pending contract extraction</x:v>
      </x:c>
      <x:c r="P27" s="16" t="str">
        <x:v>Present in ACR suite; excluded from active binder until its contract is typed.</x:v>
      </x:c>
      <x:c r="Q27" s="16" t="str">
        <x:v>775739f8e306028df65eedf6bc1c3165521e99cf88c825e00d12d1f37ab2ea36</x:v>
      </x:c>
    </x:row>
    <x:row r="28">
      <x:c r="A28" s="16" t="str">
        <x:v>ACR40</x:v>
      </x:c>
      <x:c r="B28" s="16" t="str">
        <x:v>ACR</x:v>
      </x:c>
      <x:c r="C28" s="16" t="str">
        <x:v>catalogued suite item</x:v>
      </x:c>
      <x:c r="D28" s="16" t="str">
        <x:v>ACR 27–45+ Testing</x:v>
      </x:c>
      <x:c r="E28" s="16" t="str">
        <x:v>NEXAH_ACR40_RESULTS.json</x:v>
      </x:c>
      <x:c r="F28" s="16" t="str">
        <x:v>results</x:v>
      </x:c>
      <x:c r="G28" s="16" t="str">
        <x:v>source-local fixture</x:v>
      </x:c>
      <x:c r="H28" s="16" t="str">
        <x:v>not bound in v0.2</x:v>
      </x:c>
      <x:c r="I28" s="16" t="str">
        <x:v>source-local result/marker</x:v>
      </x:c>
      <x:c r="J28" s="16" t="str">
        <x:v>source-local</x:v>
      </x:c>
      <x:c r="K28" s="16" t="str">
        <x:v>CATALOGUED_NOT_BOUND</x:v>
      </x:c>
      <x:c r="L28" s="16" t="str">
        <x:v>SUITE_INVENTORY</x:v>
      </x:c>
      <x:c r="M28" s="16" t="str">
        <x:v>none</x:v>
      </x:c>
      <x:c r="N28" s="16" t="str">
        <x:v>results</x:v>
      </x:c>
      <x:c r="O28" s="16" t="str">
        <x:v>pending contract extraction</x:v>
      </x:c>
      <x:c r="P28" s="16" t="str">
        <x:v>Present in ACR suite; excluded from active binder until its contract is typed.</x:v>
      </x:c>
      <x:c r="Q28" s="16" t="str">
        <x:v>b492d56718ad2f938341297f4025ae95dd8e6fdd87b9766903b949ba7f83397b</x:v>
      </x:c>
    </x:row>
    <x:row r="29">
      <x:c r="A29" s="16" t="str">
        <x:v>ACR41</x:v>
      </x:c>
      <x:c r="B29" s="16" t="str">
        <x:v>ACR</x:v>
      </x:c>
      <x:c r="C29" s="16" t="str">
        <x:v>catalogued suite item</x:v>
      </x:c>
      <x:c r="D29" s="16" t="str">
        <x:v>ACR 27–45+ Testing</x:v>
      </x:c>
      <x:c r="E29" s="16" t="str">
        <x:v>NEXAH_ACR41_RESULTS.json</x:v>
      </x:c>
      <x:c r="F29" s="16" t="str">
        <x:v>results</x:v>
      </x:c>
      <x:c r="G29" s="16" t="str">
        <x:v>source-local fixture</x:v>
      </x:c>
      <x:c r="H29" s="16" t="str">
        <x:v>not bound in v0.2</x:v>
      </x:c>
      <x:c r="I29" s="16" t="str">
        <x:v>source-local result/marker</x:v>
      </x:c>
      <x:c r="J29" s="16" t="str">
        <x:v>source-local</x:v>
      </x:c>
      <x:c r="K29" s="16" t="str">
        <x:v>CATALOGUED_NOT_BOUND</x:v>
      </x:c>
      <x:c r="L29" s="16" t="str">
        <x:v>SUITE_INVENTORY</x:v>
      </x:c>
      <x:c r="M29" s="16" t="str">
        <x:v>none</x:v>
      </x:c>
      <x:c r="N29" s="16" t="str">
        <x:v>results</x:v>
      </x:c>
      <x:c r="O29" s="16" t="str">
        <x:v>pending contract extraction</x:v>
      </x:c>
      <x:c r="P29" s="16" t="str">
        <x:v>Present in ACR suite; excluded from active binder until its contract is typed.</x:v>
      </x:c>
      <x:c r="Q29" s="16" t="str">
        <x:v>4b657a6913ba2c55a3ee91d98392d0ed83da2bcf8e67497ce15bacc7c900337a</x:v>
      </x:c>
    </x:row>
    <x:row r="30">
      <x:c r="A30" s="16" t="str">
        <x:v>ACR42</x:v>
      </x:c>
      <x:c r="B30" s="16" t="str">
        <x:v>ACR</x:v>
      </x:c>
      <x:c r="C30" s="16" t="str">
        <x:v>catalogued suite item</x:v>
      </x:c>
      <x:c r="D30" s="16" t="str">
        <x:v>ACR 27–45+ Testing</x:v>
      </x:c>
      <x:c r="E30" s="16" t="str">
        <x:v>NEXAH_ACR42_RESULTS.json</x:v>
      </x:c>
      <x:c r="F30" s="16" t="str">
        <x:v>results</x:v>
      </x:c>
      <x:c r="G30" s="16" t="str">
        <x:v>source-local fixture</x:v>
      </x:c>
      <x:c r="H30" s="16" t="str">
        <x:v>not bound in v0.2</x:v>
      </x:c>
      <x:c r="I30" s="16" t="str">
        <x:v>source-local result/marker</x:v>
      </x:c>
      <x:c r="J30" s="16" t="str">
        <x:v>source-local</x:v>
      </x:c>
      <x:c r="K30" s="16" t="str">
        <x:v>CATALOGUED_NOT_BOUND</x:v>
      </x:c>
      <x:c r="L30" s="16" t="str">
        <x:v>SUITE_INVENTORY</x:v>
      </x:c>
      <x:c r="M30" s="16" t="str">
        <x:v>none</x:v>
      </x:c>
      <x:c r="N30" s="16" t="str">
        <x:v>results</x:v>
      </x:c>
      <x:c r="O30" s="16" t="str">
        <x:v>pending contract extraction</x:v>
      </x:c>
      <x:c r="P30" s="16" t="str">
        <x:v>Present in ACR suite; excluded from active binder until its contract is typed.</x:v>
      </x:c>
      <x:c r="Q30" s="16" t="str">
        <x:v>d15fc6fdc848f05fb76109016b0e866baa09370bfb5053322bee95b9015e5308</x:v>
      </x:c>
    </x:row>
    <x:row r="31">
      <x:c r="A31" s="16" t="str">
        <x:v>GLB-CW-V3</x:v>
      </x:c>
      <x:c r="B31" s="16" t="str">
        <x:v>GLB</x:v>
      </x:c>
      <x:c r="C31" s="16" t="str">
        <x:v>3D geometry</x:v>
      </x:c>
      <x:c r="D31" s="16" t="str">
        <x:v>Clockwork reproducible reference</x:v>
      </x:c>
      <x:c r="E31" s="16" t="str">
        <x:v>nexah_clockwork_orange_v3_qwarp_resolution.glb</x:v>
      </x:c>
      <x:c r="F31" s="16" t="str">
        <x:v>scene graph: 1070 nodes / 27 meshes</x:v>
      </x:c>
      <x:c r="G31" s="16" t="str">
        <x:v>GLB 2.0 JSON + binary geometry</x:v>
      </x:c>
      <x:c r="H31" s="16" t="str">
        <x:v>world TRS/matrix composition; POSITION accessor bounds; named-node vector screen</x:v>
      </x:c>
      <x:c r="I31" s="16" t="str">
        <x:v>bbox=16.68,16.32,1.97; candidates=24</x:v>
      </x:c>
      <x:c r="J31" s="16" t="str">
        <x:v>model coordinates / degrees</x:v>
      </x:c>
      <x:c r="K31" s="16" t="str">
        <x:v>EXTRACTED_NO_PARSE_ERRORS</x:v>
      </x:c>
      <x:c r="L31" s="16" t="str">
        <x:v>VERIFIED_SOURCE_TO_GLB</x:v>
      </x:c>
      <x:c r="M31" s="16" t="str">
        <x:v>geometry_reference_candidate</x:v>
      </x:c>
      <x:c r="N31" s="16" t="str">
        <x:v>node and mesh names</x:v>
      </x:c>
      <x:c r="O31" s="16" t="str">
        <x:v>scene graph / candidate orientation vectors</x:v>
      </x:c>
      <x:c r="P31" s="16" t="str">
        <x:v>Structural extraction only; node names and angles are candidate metadata, not validated semantics.</x:v>
      </x:c>
      <x:c r="Q31" s="16" t="str">
        <x:v>2bb73c6d0ddb24abf3b2be268a7f3f92ab2a673e35d9a3ad8501db2c9efee389</x:v>
      </x:c>
    </x:row>
    <x:row r="32">
      <x:c r="A32" s="16" t="str">
        <x:v>GLB-CW-V4</x:v>
      </x:c>
      <x:c r="B32" s="16" t="str">
        <x:v>GLB</x:v>
      </x:c>
      <x:c r="C32" s="16" t="str">
        <x:v>3D geometry</x:v>
      </x:c>
      <x:c r="D32" s="16" t="str">
        <x:v>Clockwork reproducible reference</x:v>
      </x:c>
      <x:c r="E32" s="16" t="str">
        <x:v>nexah_clockwork_orange_v4_triple19_bridge.glb</x:v>
      </x:c>
      <x:c r="F32" s="16" t="str">
        <x:v>scene graph: 1181 nodes / 35 meshes</x:v>
      </x:c>
      <x:c r="G32" s="16" t="str">
        <x:v>GLB 2.0 JSON + binary geometry</x:v>
      </x:c>
      <x:c r="H32" s="16" t="str">
        <x:v>world TRS/matrix composition; POSITION accessor bounds; named-node vector screen</x:v>
      </x:c>
      <x:c r="I32" s="16" t="str">
        <x:v>bbox=16.68,16.32,2.1725; candidates=24</x:v>
      </x:c>
      <x:c r="J32" s="16" t="str">
        <x:v>model coordinates / degrees</x:v>
      </x:c>
      <x:c r="K32" s="16" t="str">
        <x:v>EXTRACTED_NO_PARSE_ERRORS</x:v>
      </x:c>
      <x:c r="L32" s="16" t="str">
        <x:v>VERIFIED_SOURCE_TO_GLB</x:v>
      </x:c>
      <x:c r="M32" s="16" t="str">
        <x:v>geometry_reference_candidate</x:v>
      </x:c>
      <x:c r="N32" s="16" t="str">
        <x:v>node and mesh names</x:v>
      </x:c>
      <x:c r="O32" s="16" t="str">
        <x:v>scene graph / candidate orientation vectors</x:v>
      </x:c>
      <x:c r="P32" s="16" t="str">
        <x:v>Structural extraction only; node names and angles are candidate metadata, not validated semantics.</x:v>
      </x:c>
      <x:c r="Q32" s="16" t="str">
        <x:v>1f712ee8a304463c67d5be7750070bd2a295a9a7a49aec2a4af19219f27dca19</x:v>
      </x:c>
    </x:row>
    <x:row r="33">
      <x:c r="A33" s="16" t="str">
        <x:v>GLB-CW-V5</x:v>
      </x:c>
      <x:c r="B33" s="16" t="str">
        <x:v>GLB</x:v>
      </x:c>
      <x:c r="C33" s="16" t="str">
        <x:v>3D geometry</x:v>
      </x:c>
      <x:c r="D33" s="16" t="str">
        <x:v>Clockwork reproducible reference</x:v>
      </x:c>
      <x:c r="E33" s="16" t="str">
        <x:v>nexah_crown_aperture_phase_flip_v5.glb</x:v>
      </x:c>
      <x:c r="F33" s="16" t="str">
        <x:v>scene graph: 1215 nodes / 45 meshes</x:v>
      </x:c>
      <x:c r="G33" s="16" t="str">
        <x:v>GLB 2.0 JSON + binary geometry</x:v>
      </x:c>
      <x:c r="H33" s="16" t="str">
        <x:v>world TRS/matrix composition; POSITION accessor bounds; named-node vector screen</x:v>
      </x:c>
      <x:c r="I33" s="16" t="str">
        <x:v>bbox=16.68,16.32,15.64; candidates=24</x:v>
      </x:c>
      <x:c r="J33" s="16" t="str">
        <x:v>model coordinates / degrees</x:v>
      </x:c>
      <x:c r="K33" s="16" t="str">
        <x:v>EXTRACTED_NO_PARSE_ERRORS</x:v>
      </x:c>
      <x:c r="L33" s="16" t="str">
        <x:v>VERIFIED_SOURCE_TO_GLB</x:v>
      </x:c>
      <x:c r="M33" s="16" t="str">
        <x:v>geometry_reference_candidate</x:v>
      </x:c>
      <x:c r="N33" s="16" t="str">
        <x:v>node and mesh names</x:v>
      </x:c>
      <x:c r="O33" s="16" t="str">
        <x:v>scene graph / candidate orientation vectors</x:v>
      </x:c>
      <x:c r="P33" s="16" t="str">
        <x:v>Structural extraction only; node names and angles are candidate metadata, not validated semantics.</x:v>
      </x:c>
      <x:c r="Q33" s="16" t="str">
        <x:v>f4e08add47c8e10340932635203fd5361ab5db475ffc85ce5f49057eed3909b3</x:v>
      </x:c>
    </x:row>
    <x:row r="34">
      <x:c r="A34" s="16" t="str">
        <x:v>GLB-CW-V6</x:v>
      </x:c>
      <x:c r="B34" s="16" t="str">
        <x:v>GLB</x:v>
      </x:c>
      <x:c r="C34" s="16" t="str">
        <x:v>3D geometry</x:v>
      </x:c>
      <x:c r="D34" s="16" t="str">
        <x:v>Clockwork reproducible reference</x:v>
      </x:c>
      <x:c r="E34" s="16" t="str">
        <x:v>nexah_oil_ris_orbital_closure_v6.glb</x:v>
      </x:c>
      <x:c r="F34" s="16" t="str">
        <x:v>scene graph: 1253 nodes / 56 meshes</x:v>
      </x:c>
      <x:c r="G34" s="16" t="str">
        <x:v>GLB 2.0 JSON + binary geometry</x:v>
      </x:c>
      <x:c r="H34" s="16" t="str">
        <x:v>world TRS/matrix composition; POSITION accessor bounds; named-node vector screen</x:v>
      </x:c>
      <x:c r="I34" s="16" t="str">
        <x:v>bbox=16.68,16.32,15.64; candidates=24</x:v>
      </x:c>
      <x:c r="J34" s="16" t="str">
        <x:v>model coordinates / degrees</x:v>
      </x:c>
      <x:c r="K34" s="16" t="str">
        <x:v>EXTRACTED_NO_PARSE_ERRORS</x:v>
      </x:c>
      <x:c r="L34" s="16" t="str">
        <x:v>VERIFIED_SOURCE_TO_GLB</x:v>
      </x:c>
      <x:c r="M34" s="16" t="str">
        <x:v>geometry_reference_candidate</x:v>
      </x:c>
      <x:c r="N34" s="16" t="str">
        <x:v>node and mesh names</x:v>
      </x:c>
      <x:c r="O34" s="16" t="str">
        <x:v>scene graph / candidate orientation vectors</x:v>
      </x:c>
      <x:c r="P34" s="16" t="str">
        <x:v>Structural extraction only; node names and angles are candidate metadata, not validated semantics.</x:v>
      </x:c>
      <x:c r="Q34" s="16" t="str">
        <x:v>e7728e6ee483abb40aef7bcf174d5c363cd5177db5fae0e16e722977a43cddd8</x:v>
      </x:c>
    </x:row>
    <x:row r="35">
      <x:c r="A35" s="16" t="str">
        <x:v>GLB-CW-V7</x:v>
      </x:c>
      <x:c r="B35" s="16" t="str">
        <x:v>GLB</x:v>
      </x:c>
      <x:c r="C35" s="16" t="str">
        <x:v>3D geometry</x:v>
      </x:c>
      <x:c r="D35" s="16" t="str">
        <x:v>Clockwork reproducible reference</x:v>
      </x:c>
      <x:c r="E35" s="16" t="str">
        <x:v>nexah_pq_conjugate_orbit_v7.glb</x:v>
      </x:c>
      <x:c r="F35" s="16" t="str">
        <x:v>scene graph: 1270 nodes / 59 meshes</x:v>
      </x:c>
      <x:c r="G35" s="16" t="str">
        <x:v>GLB 2.0 JSON + binary geometry</x:v>
      </x:c>
      <x:c r="H35" s="16" t="str">
        <x:v>world TRS/matrix composition; POSITION accessor bounds; named-node vector screen</x:v>
      </x:c>
      <x:c r="I35" s="16" t="str">
        <x:v>bbox=16.68,16.32,15.661; candidates=24</x:v>
      </x:c>
      <x:c r="J35" s="16" t="str">
        <x:v>model coordinates / degrees</x:v>
      </x:c>
      <x:c r="K35" s="16" t="str">
        <x:v>EXTRACTED_NO_PARSE_ERRORS</x:v>
      </x:c>
      <x:c r="L35" s="16" t="str">
        <x:v>VERIFIED_SOURCE_TO_GLB</x:v>
      </x:c>
      <x:c r="M35" s="16" t="str">
        <x:v>geometry_reference_candidate</x:v>
      </x:c>
      <x:c r="N35" s="16" t="str">
        <x:v>node and mesh names</x:v>
      </x:c>
      <x:c r="O35" s="16" t="str">
        <x:v>scene graph / candidate orientation vectors</x:v>
      </x:c>
      <x:c r="P35" s="16" t="str">
        <x:v>Structural extraction only; node names and angles are candidate metadata, not validated semantics.</x:v>
      </x:c>
      <x:c r="Q35" s="16" t="str">
        <x:v>c390d4c6a6e1054116cfdd2c96953d810a333e97f654d815b2e1fe47cd60ecae</x:v>
      </x:c>
    </x:row>
    <x:row r="36">
      <x:c r="A36" s="16" t="str">
        <x:v>GLB-ORBIT</x:v>
      </x:c>
      <x:c r="B36" s="16" t="str">
        <x:v>GLB</x:v>
      </x:c>
      <x:c r="C36" s="16" t="str">
        <x:v>3D geometry</x:v>
      </x:c>
      <x:c r="D36" s="16" t="str">
        <x:v>GLB 2 catalogue</x:v>
      </x:c>
      <x:c r="E36" s="16" t="str">
        <x:v>Orbital_Resonance_Lab.glb</x:v>
      </x:c>
      <x:c r="F36" s="16" t="str">
        <x:v>scene graph: 3825 nodes / 3952 meshes</x:v>
      </x:c>
      <x:c r="G36" s="16" t="str">
        <x:v>GLB 2.0 JSON + binary geometry</x:v>
      </x:c>
      <x:c r="H36" s="16" t="str">
        <x:v>world TRS/matrix composition; POSITION accessor bounds; named-node vector screen</x:v>
      </x:c>
      <x:c r="I36" s="16" t="str">
        <x:v>bbox=12.4053,1.7023,12.4053; candidates=24</x:v>
      </x:c>
      <x:c r="J36" s="16" t="str">
        <x:v>model coordinates / degrees</x:v>
      </x:c>
      <x:c r="K36" s="16" t="str">
        <x:v>EXTRACTED_NO_PARSE_ERRORS</x:v>
      </x:c>
      <x:c r="L36" s="16" t="str">
        <x:v>CATALOGUED_ASSET_SOURCE_UNVERIFIED</x:v>
      </x:c>
      <x:c r="M36" s="16" t="str">
        <x:v>geometry_reference_candidate</x:v>
      </x:c>
      <x:c r="N36" s="16" t="str">
        <x:v>node and mesh names</x:v>
      </x:c>
      <x:c r="O36" s="16" t="str">
        <x:v>scene graph / candidate orientation vectors</x:v>
      </x:c>
      <x:c r="P36" s="16" t="str">
        <x:v>Structural extraction only; node names and angles are candidate metadata, not validated semantics.</x:v>
      </x:c>
      <x:c r="Q36" s="16" t="str">
        <x:v>7ca796ebba3414d5859c569d589dda12116a6d7be514dffb8869d1c447a38f71</x:v>
      </x:c>
    </x:row>
    <x:row r="37">
      <x:c r="A37" s="16" t="str">
        <x:v>GLB-QUAT</x:v>
      </x:c>
      <x:c r="B37" s="16" t="str">
        <x:v>GLB</x:v>
      </x:c>
      <x:c r="C37" s="16" t="str">
        <x:v>3D geometry</x:v>
      </x:c>
      <x:c r="D37" s="16" t="str">
        <x:v>GLB 2 catalogue</x:v>
      </x:c>
      <x:c r="E37" s="16" t="str">
        <x:v>Quaternion_Playground.glb</x:v>
      </x:c>
      <x:c r="F37" s="16" t="str">
        <x:v>scene graph: 13226 nodes / 13225 meshes</x:v>
      </x:c>
      <x:c r="G37" s="16" t="str">
        <x:v>GLB 2.0 JSON + binary geometry</x:v>
      </x:c>
      <x:c r="H37" s="16" t="str">
        <x:v>world TRS/matrix composition; POSITION accessor bounds; named-node vector screen</x:v>
      </x:c>
      <x:c r="I37" s="16" t="str">
        <x:v>bbox=281.809,281.809,281.809; candidates=24</x:v>
      </x:c>
      <x:c r="J37" s="16" t="str">
        <x:v>model coordinates / degrees</x:v>
      </x:c>
      <x:c r="K37" s="16" t="str">
        <x:v>EXTRACTED_NO_PARSE_ERRORS</x:v>
      </x:c>
      <x:c r="L37" s="16" t="str">
        <x:v>CATALOGUED_ASSET_SOURCE_UNVERIFIED</x:v>
      </x:c>
      <x:c r="M37" s="16" t="str">
        <x:v>geometry_reference_candidate</x:v>
      </x:c>
      <x:c r="N37" s="16" t="str">
        <x:v>node and mesh names</x:v>
      </x:c>
      <x:c r="O37" s="16" t="str">
        <x:v>scene graph / candidate orientation vectors</x:v>
      </x:c>
      <x:c r="P37" s="16" t="str">
        <x:v>Structural extraction only; node names and angles are candidate metadata, not validated semantics.</x:v>
      </x:c>
      <x:c r="Q37" s="16" t="str">
        <x:v>5bfa0acf79d0e91b5c0804d1e4bebfdf4a1a6f692f1aca069d04c18d5e7286e9</x:v>
      </x:c>
    </x:row>
    <x:row r="38">
      <x:c r="A38" s="16" t="str">
        <x:v>GLB-PHI</x:v>
      </x:c>
      <x:c r="B38" s="16" t="str">
        <x:v>GLB</x:v>
      </x:c>
      <x:c r="C38" s="16" t="str">
        <x:v>3D geometry</x:v>
      </x:c>
      <x:c r="D38" s="16" t="str">
        <x:v>GLB 2 catalogue</x:v>
      </x:c>
      <x:c r="E38" s="16" t="str">
        <x:v>Phi_Nest_Quasicrystal.glb</x:v>
      </x:c>
      <x:c r="F38" s="16" t="str">
        <x:v>scene graph: 3973 nodes / 3972 meshes</x:v>
      </x:c>
      <x:c r="G38" s="16" t="str">
        <x:v>GLB 2.0 JSON + binary geometry</x:v>
      </x:c>
      <x:c r="H38" s="16" t="str">
        <x:v>world TRS/matrix composition; POSITION accessor bounds; named-node vector screen</x:v>
      </x:c>
      <x:c r="I38" s="16" t="str">
        <x:v>bbox=10.2553,10.2906,10.3926; candidates=0</x:v>
      </x:c>
      <x:c r="J38" s="16" t="str">
        <x:v>model coordinates / degrees</x:v>
      </x:c>
      <x:c r="K38" s="16" t="str">
        <x:v>EXTRACTED_NO_PARSE_ERRORS</x:v>
      </x:c>
      <x:c r="L38" s="16" t="str">
        <x:v>CATALOGUED_ASSET_SOURCE_UNVERIFIED</x:v>
      </x:c>
      <x:c r="M38" s="16" t="str">
        <x:v>geometry_reference_candidate</x:v>
      </x:c>
      <x:c r="N38" s="16" t="str">
        <x:v>node and mesh names</x:v>
      </x:c>
      <x:c r="O38" s="16" t="str">
        <x:v>scene graph / candidate orientation vectors</x:v>
      </x:c>
      <x:c r="P38" s="16" t="str">
        <x:v>Structural extraction only; node names and angles are candidate metadata, not validated semantics.</x:v>
      </x:c>
      <x:c r="Q38" s="16" t="str">
        <x:v>84ac25793986827d6bf2c97808f8ef7865efe4691fe941a35544f47644f6c6e3</x:v>
      </x:c>
    </x:row>
    <x:row r="39">
      <x:c r="A39" s="16" t="str">
        <x:v>GLB-MUSIC</x:v>
      </x:c>
      <x:c r="B39" s="16" t="str">
        <x:v>GLB</x:v>
      </x:c>
      <x:c r="C39" s="16" t="str">
        <x:v>3D geometry</x:v>
      </x:c>
      <x:c r="D39" s="16" t="str">
        <x:v>GLB 2 catalogue</x:v>
      </x:c>
      <x:c r="E39" s="16" t="str">
        <x:v>Music_Orbit_Resonance_Lab.glb</x:v>
      </x:c>
      <x:c r="F39" s="16" t="str">
        <x:v>scene graph: 7172 nodes / 9298 meshes</x:v>
      </x:c>
      <x:c r="G39" s="16" t="str">
        <x:v>GLB 2.0 JSON + binary geometry</x:v>
      </x:c>
      <x:c r="H39" s="16" t="str">
        <x:v>world TRS/matrix composition; POSITION accessor bounds; named-node vector screen</x:v>
      </x:c>
      <x:c r="I39" s="16" t="str">
        <x:v>bbox=11.9011,1.7013,11.7013; candidates=24</x:v>
      </x:c>
      <x:c r="J39" s="16" t="str">
        <x:v>model coordinates / degrees</x:v>
      </x:c>
      <x:c r="K39" s="16" t="str">
        <x:v>EXTRACTED_NO_PARSE_ERRORS</x:v>
      </x:c>
      <x:c r="L39" s="16" t="str">
        <x:v>CATALOGUED_ASSET_SOURCE_UNVERIFIED</x:v>
      </x:c>
      <x:c r="M39" s="16" t="str">
        <x:v>geometry_reference_candidate</x:v>
      </x:c>
      <x:c r="N39" s="16" t="str">
        <x:v>node and mesh names</x:v>
      </x:c>
      <x:c r="O39" s="16" t="str">
        <x:v>scene graph / candidate orientation vectors</x:v>
      </x:c>
      <x:c r="P39" s="16" t="str">
        <x:v>Structural extraction only; node names and angles are candidate metadata, not validated semantics.</x:v>
      </x:c>
      <x:c r="Q39" s="16" t="str">
        <x:v>8a150d641534233eb966d27290b0693ad0bbef543010f3a7d865238219fcd045</x:v>
      </x:c>
    </x:row>
    <x:row r="40">
      <x:c r="A40" s="16" t="str">
        <x:v>GLB-LENS</x:v>
      </x:c>
      <x:c r="B40" s="16" t="str">
        <x:v>GLB</x:v>
      </x:c>
      <x:c r="C40" s="16" t="str">
        <x:v>3D geometry</x:v>
      </x:c>
      <x:c r="D40" s="16" t="str">
        <x:v>GLB 2 catalogue</x:v>
      </x:c>
      <x:c r="E40" s="16" t="str">
        <x:v>Gravitational_Lensing_Box.glb</x:v>
      </x:c>
      <x:c r="F40" s="16" t="str">
        <x:v>scene graph: 3499 nodes / 13364 meshes</x:v>
      </x:c>
      <x:c r="G40" s="16" t="str">
        <x:v>GLB 2.0 JSON + binary geometry</x:v>
      </x:c>
      <x:c r="H40" s="16" t="str">
        <x:v>world TRS/matrix composition; POSITION accessor bounds; named-node vector screen</x:v>
      </x:c>
      <x:c r="I40" s="16" t="str">
        <x:v>bbox=12.7013,1.7213,12.7013; candidates=24</x:v>
      </x:c>
      <x:c r="J40" s="16" t="str">
        <x:v>model coordinates / degrees</x:v>
      </x:c>
      <x:c r="K40" s="16" t="str">
        <x:v>EXTRACTED_NO_PARSE_ERRORS</x:v>
      </x:c>
      <x:c r="L40" s="16" t="str">
        <x:v>CATALOGUED_ASSET_SOURCE_UNVERIFIED</x:v>
      </x:c>
      <x:c r="M40" s="16" t="str">
        <x:v>geometry_reference_candidate</x:v>
      </x:c>
      <x:c r="N40" s="16" t="str">
        <x:v>node and mesh names</x:v>
      </x:c>
      <x:c r="O40" s="16" t="str">
        <x:v>scene graph / candidate orientation vectors</x:v>
      </x:c>
      <x:c r="P40" s="16" t="str">
        <x:v>Structural extraction only; node names and angles are candidate metadata, not validated semantics.</x:v>
      </x:c>
      <x:c r="Q40" s="16" t="str">
        <x:v>f17d5df6a0d84f54c61bef52cf146083a8ca3188bfd927c152ba72699abdf5a9</x:v>
      </x:c>
    </x:row>
    <x:row r="41">
      <x:c r="A41" s="16" t="str">
        <x:v>GLB-PERIODIC</x:v>
      </x:c>
      <x:c r="B41" s="16" t="str">
        <x:v>GLB</x:v>
      </x:c>
      <x:c r="C41" s="16" t="str">
        <x:v>3D geometry</x:v>
      </x:c>
      <x:c r="D41" s="16" t="str">
        <x:v>Science Lab repository</x:v>
      </x:c>
      <x:c r="E41" s="16" t="str">
        <x:v>periodic_clockwork_3d.glb</x:v>
      </x:c>
      <x:c r="F41" s="16" t="str">
        <x:v>scene graph: 2 nodes / 1 meshes</x:v>
      </x:c>
      <x:c r="G41" s="16" t="str">
        <x:v>GLB 2.0 JSON + binary geometry</x:v>
      </x:c>
      <x:c r="H41" s="16" t="str">
        <x:v>world TRS/matrix composition; POSITION accessor bounds; named-node vector screen</x:v>
      </x:c>
      <x:c r="I41" s="16" t="str">
        <x:v>bbox=3,1.6,2.5; candidates=0</x:v>
      </x:c>
      <x:c r="J41" s="16" t="str">
        <x:v>model coordinates / degrees</x:v>
      </x:c>
      <x:c r="K41" s="16" t="str">
        <x:v>EXTRACTED_NO_PARSE_ERRORS</x:v>
      </x:c>
      <x:c r="L41" s="16" t="str">
        <x:v>REPO_LOCAL_SOURCE_UNRESOLVED</x:v>
      </x:c>
      <x:c r="M41" s="16" t="str">
        <x:v>geometry_reference_candidate</x:v>
      </x:c>
      <x:c r="N41" s="16" t="str">
        <x:v>node and mesh names</x:v>
      </x:c>
      <x:c r="O41" s="16" t="str">
        <x:v>scene graph / candidate orientation vectors</x:v>
      </x:c>
      <x:c r="P41" s="16" t="str">
        <x:v>Structural extraction only; node names and angles are candidate metadata, not validated semantics.</x:v>
      </x:c>
      <x:c r="Q41" s="16" t="str">
        <x:v>c426a193b859e7f81966d550a094c687869274e11598edcc82fca7c1213d581a</x:v>
      </x:c>
    </x:row>
    <x:row r="42">
      <x:c r="A42" s="16" t="str">
        <x:v>OLS-01</x:v>
      </x:c>
      <x:c r="B42" s="16" t="str">
        <x:v>OLS</x:v>
      </x:c>
      <x:c r="C42" s="16" t="str">
        <x:v>OLS semantic order</x:v>
      </x:c>
      <x:c r="D42" s="16" t="str">
        <x:v>OLS 1.0 + controlled glossaries</x:v>
      </x:c>
      <x:c r="E42" s="16" t="str">
        <x:v>03_OLS_LANGUAGE_AND_GRAMMAR_MAP.md / 06_GLOSSARY.md</x:v>
      </x:c>
      <x:c r="F42" s="16" t="str">
        <x:v>OBSERVE→REPRESENT→COMPARE→ORIENT→EXPLAIN</x:v>
      </x:c>
      <x:c r="G42" s="16" t="str">
        <x:v>OLS 1.0</x:v>
      </x:c>
      <x:c r="H42" s="16" t="str">
        <x:v>declared decoder</x:v>
      </x:c>
      <x:c r="I42" s="16" t="str">
        <x:v>five primitive responsibilities</x:v>
      </x:c>
      <x:c r="J42" s="16" t="str">
        <x:v>semantic/documentary</x:v>
      </x:c>
      <x:c r="K42" s="16" t="str">
        <x:v>CONTROLLED_VOCABULARY</x:v>
      </x:c>
      <x:c r="L42" s="16" t="str">
        <x:v>REPOSITORY_AUTHORITY_MAP</x:v>
      </x:c>
      <x:c r="M42" s="16" t="str">
        <x:v>language_boundary</x:v>
      </x:c>
      <x:c r="N42" s="16" t="str">
        <x:v>OBSERVE→REPRESENT→COMPARE→ORIENT→EXPLAIN</x:v>
      </x:c>
      <x:c r="O42" s="16" t="str">
        <x:v>five primitive responsibilities</x:v>
      </x:c>
      <x:c r="P42" s="16" t="str">
        <x:v>schedule, causality, authorization, or execution</x:v>
      </x:c>
      <x:c r="Q42" s="16" t="str"/>
    </x:row>
    <x:row r="43">
      <x:c r="A43" s="16" t="str">
        <x:v>OLS-02</x:v>
      </x:c>
      <x:c r="B43" s="16" t="str">
        <x:v>OLS</x:v>
      </x:c>
      <x:c r="C43" s="16" t="str">
        <x:v>audit codebook</x:v>
      </x:c>
      <x:c r="D43" s="16" t="str">
        <x:v>OLS 1.0 + controlled glossaries</x:v>
      </x:c>
      <x:c r="E43" s="16" t="str">
        <x:v>03_OLS_LANGUAGE_AND_GRAMMAR_MAP.md / 06_GLOSSARY.md</x:v>
      </x:c>
      <x:c r="F43" s="16" t="str">
        <x:v>I/L/A/U</x:v>
      </x:c>
      <x:c r="G43" s="16" t="str">
        <x:v>declared comparison</x:v>
      </x:c>
      <x:c r="H43" s="16" t="str">
        <x:v>declared decoder</x:v>
      </x:c>
      <x:c r="I43" s="16" t="str">
        <x:v>retained / lost / introduced / unresolved</x:v>
      </x:c>
      <x:c r="J43" s="16" t="str">
        <x:v>semantic/documentary</x:v>
      </x:c>
      <x:c r="K43" s="16" t="str">
        <x:v>CONTROLLED_VOCABULARY</x:v>
      </x:c>
      <x:c r="L43" s="16" t="str">
        <x:v>REPOSITORY_AUTHORITY_MAP</x:v>
      </x:c>
      <x:c r="M43" s="16" t="str">
        <x:v>language_boundary</x:v>
      </x:c>
      <x:c r="N43" s="16" t="str">
        <x:v>I/L/A/U</x:v>
      </x:c>
      <x:c r="O43" s="16" t="str">
        <x:v>retained / lost / introduced / unresolved</x:v>
      </x:c>
      <x:c r="P43" s="16" t="str">
        <x:v>substances or automatic causal explanation</x:v>
      </x:c>
      <x:c r="Q43" s="16" t="str"/>
    </x:row>
    <x:row r="44">
      <x:c r="A44" s="16" t="str">
        <x:v>OLS-03</x:v>
      </x:c>
      <x:c r="B44" s="16" t="str">
        <x:v>OLS</x:v>
      </x:c>
      <x:c r="C44" s="16" t="str">
        <x:v>expression vocabulary</x:v>
      </x:c>
      <x:c r="D44" s="16" t="str">
        <x:v>OLS 1.0 + controlled glossaries</x:v>
      </x:c>
      <x:c r="E44" s="16" t="str">
        <x:v>03_OLS_LANGUAGE_AND_GRAMMAR_MAP.md / 06_GLOSSARY.md</x:v>
      </x:c>
      <x:c r="F44" s="16" t="str">
        <x:v>FIELD / FORM</x:v>
      </x:c>
      <x:c r="G44" s="16" t="str">
        <x:v>source-local definition</x:v>
      </x:c>
      <x:c r="H44" s="16" t="str">
        <x:v>declared decoder</x:v>
      </x:c>
      <x:c r="I44" s="16" t="str">
        <x:v>carrier/domain and declared morphology view</x:v>
      </x:c>
      <x:c r="J44" s="16" t="str">
        <x:v>semantic/documentary</x:v>
      </x:c>
      <x:c r="K44" s="16" t="str">
        <x:v>CONTROLLED_VOCABULARY</x:v>
      </x:c>
      <x:c r="L44" s="16" t="str">
        <x:v>REPOSITORY_AUTHORITY_MAP</x:v>
      </x:c>
      <x:c r="M44" s="16" t="str">
        <x:v>language_boundary</x:v>
      </x:c>
      <x:c r="N44" s="16" t="str">
        <x:v>FIELD / FORM</x:v>
      </x:c>
      <x:c r="O44" s="16" t="str">
        <x:v>carrier/domain and declared morphology view</x:v>
      </x:c>
      <x:c r="P44" s="16" t="str">
        <x:v>universal physical field or intrinsic glyph meaning</x:v>
      </x:c>
      <x:c r="Q44" s="16" t="str"/>
    </x:row>
    <x:row r="45">
      <x:c r="A45" s="16" t="str">
        <x:v>OLS-04</x:v>
      </x:c>
      <x:c r="B45" s="16" t="str">
        <x:v>OLS</x:v>
      </x:c>
      <x:c r="C45" s="16" t="str">
        <x:v>registered event link</x:v>
      </x:c>
      <x:c r="D45" s="16" t="str">
        <x:v>OLS 1.0 + controlled glossaries</x:v>
      </x:c>
      <x:c r="E45" s="16" t="str">
        <x:v>03_OLS_LANGUAGE_AND_GRAMMAR_MAP.md / 06_GLOSSARY.md</x:v>
      </x:c>
      <x:c r="F45" s="16" t="str">
        <x:v>glyph→number</x:v>
      </x:c>
      <x:c r="G45" s="16" t="str">
        <x:v>explicit glyph and number decoder</x:v>
      </x:c>
      <x:c r="H45" s="16" t="str">
        <x:v>declared decoder</x:v>
      </x:c>
      <x:c r="I45" s="16" t="str">
        <x:v>typed mapping in an event ledger</x:v>
      </x:c>
      <x:c r="J45" s="16" t="str">
        <x:v>semantic/documentary</x:v>
      </x:c>
      <x:c r="K45" s="16" t="str">
        <x:v>CONTROLLED_VOCABULARY</x:v>
      </x:c>
      <x:c r="L45" s="16" t="str">
        <x:v>REPOSITORY_AUTHORITY_MAP</x:v>
      </x:c>
      <x:c r="M45" s="16" t="str">
        <x:v>language_boundary</x:v>
      </x:c>
      <x:c r="N45" s="16" t="str">
        <x:v>glyph→number</x:v>
      </x:c>
      <x:c r="O45" s="16" t="str">
        <x:v>typed mapping in an event ledger</x:v>
      </x:c>
      <x:c r="P45" s="16" t="str">
        <x:v>letters generate numbers</x:v>
      </x:c>
      <x:c r="Q45" s="16" t="str"/>
    </x:row>
    <x:row r="46">
      <x:c r="A46" s="16" t="str">
        <x:v>OLS-05</x:v>
      </x:c>
      <x:c r="B46" s="16" t="str">
        <x:v>OLS</x:v>
      </x:c>
      <x:c r="C46" s="16" t="str">
        <x:v>legacy expression token</x:v>
      </x:c>
      <x:c r="D46" s="16" t="str">
        <x:v>OLS 1.0 + controlled glossaries</x:v>
      </x:c>
      <x:c r="E46" s="16" t="str">
        <x:v>03_OLS_LANGUAGE_AND_GRAMMAR_MAP.md / 06_GLOSSARY.md</x:v>
      </x:c>
      <x:c r="F46" s="16" t="str">
        <x:v>syllable / letter</x:v>
      </x:c>
      <x:c r="G46" s="16" t="str">
        <x:v>explicit source rule</x:v>
      </x:c>
      <x:c r="H46" s="16" t="str">
        <x:v>declared decoder</x:v>
      </x:c>
      <x:c r="I46" s="16" t="str">
        <x:v>source-local mnemonic or segmentation</x:v>
      </x:c>
      <x:c r="J46" s="16" t="str">
        <x:v>semantic/documentary</x:v>
      </x:c>
      <x:c r="K46" s="16" t="str">
        <x:v>CONTROLLED_VOCABULARY</x:v>
      </x:c>
      <x:c r="L46" s="16" t="str">
        <x:v>REPOSITORY_AUTHORITY_MAP</x:v>
      </x:c>
      <x:c r="M46" s="16" t="str">
        <x:v>language_boundary</x:v>
      </x:c>
      <x:c r="N46" s="16" t="str">
        <x:v>syllable / letter</x:v>
      </x:c>
      <x:c r="O46" s="16" t="str">
        <x:v>source-local mnemonic or segmentation</x:v>
      </x:c>
      <x:c r="P46" s="16" t="str">
        <x:v>canonical operator or mathematical value</x:v>
      </x:c>
      <x:c r="Q46" s="16" t="str"/>
    </x:row>
    <x:row r="47">
      <x:c r="A47" s="16" t="str">
        <x:v>OLS-06</x:v>
      </x:c>
      <x:c r="B47" s="16" t="str">
        <x:v>OLS</x:v>
      </x:c>
      <x:c r="C47" s="16" t="str">
        <x:v>controlled glossary term</x:v>
      </x:c>
      <x:c r="D47" s="16" t="str">
        <x:v>OLS 1.0 + controlled glossaries</x:v>
      </x:c>
      <x:c r="E47" s="16" t="str">
        <x:v>03_OLS_LANGUAGE_AND_GRAMMAR_MAP.md / 06_GLOSSARY.md</x:v>
      </x:c>
      <x:c r="F47" s="16" t="str">
        <x:v>Cut</x:v>
      </x:c>
      <x:c r="G47" s="16" t="str">
        <x:v>carrier, address, inclusion rule</x:v>
      </x:c>
      <x:c r="H47" s="16" t="str">
        <x:v>declared decoder</x:v>
      </x:c>
      <x:c r="I47" s="16" t="str">
        <x:v>declared selection entering a view or record</x:v>
      </x:c>
      <x:c r="J47" s="16" t="str">
        <x:v>semantic/documentary</x:v>
      </x:c>
      <x:c r="K47" s="16" t="str">
        <x:v>CONTROLLED_VOCABULARY</x:v>
      </x:c>
      <x:c r="L47" s="16" t="str">
        <x:v>REPOSITORY_AUTHORITY_MAP</x:v>
      </x:c>
      <x:c r="M47" s="16" t="str">
        <x:v>language_boundary</x:v>
      </x:c>
      <x:c r="N47" s="16" t="str">
        <x:v>Cut</x:v>
      </x:c>
      <x:c r="O47" s="16" t="str">
        <x:v>declared selection entering a view or record</x:v>
      </x:c>
      <x:c r="P47" s="16" t="str">
        <x:v>destruction of source</x:v>
      </x:c>
      <x:c r="Q47" s="16" t="str"/>
    </x:row>
    <x:row r="48">
      <x:c r="A48" s="16" t="str">
        <x:v>OLS-07</x:v>
      </x:c>
      <x:c r="B48" s="16" t="str">
        <x:v>OLS</x:v>
      </x:c>
      <x:c r="C48" s="16" t="str">
        <x:v>controlled glossary term</x:v>
      </x:c>
      <x:c r="D48" s="16" t="str">
        <x:v>OLS 1.0 + controlled glossaries</x:v>
      </x:c>
      <x:c r="E48" s="16" t="str">
        <x:v>03_OLS_LANGUAGE_AND_GRAMMAR_MAP.md / 06_GLOSSARY.md</x:v>
      </x:c>
      <x:c r="F48" s="16" t="str">
        <x:v>Seam</x:v>
      </x:c>
      <x:c r="G48" s="16" t="str">
        <x:v>two declared local records</x:v>
      </x:c>
      <x:c r="H48" s="16" t="str">
        <x:v>declared decoder</x:v>
      </x:c>
      <x:c r="I48" s="16" t="str">
        <x:v>boundary/correspondence for joining or comparison</x:v>
      </x:c>
      <x:c r="J48" s="16" t="str">
        <x:v>semantic/documentary</x:v>
      </x:c>
      <x:c r="K48" s="16" t="str">
        <x:v>CONTROLLED_VOCABULARY</x:v>
      </x:c>
      <x:c r="L48" s="16" t="str">
        <x:v>REPOSITORY_AUTHORITY_MAP</x:v>
      </x:c>
      <x:c r="M48" s="16" t="str">
        <x:v>language_boundary</x:v>
      </x:c>
      <x:c r="N48" s="16" t="str">
        <x:v>Seam</x:v>
      </x:c>
      <x:c r="O48" s="16" t="str">
        <x:v>boundary/correspondence for joining or comparison</x:v>
      </x:c>
      <x:c r="P48" s="16" t="str">
        <x:v>global identity</x:v>
      </x:c>
      <x:c r="Q48" s="16" t="str"/>
    </x:row>
    <x:row r="49">
      <x:c r="A49" s="16" t="str">
        <x:v>OLS-08</x:v>
      </x:c>
      <x:c r="B49" s="16" t="str">
        <x:v>OLS</x:v>
      </x:c>
      <x:c r="C49" s="16" t="str">
        <x:v>controlled glossary term</x:v>
      </x:c>
      <x:c r="D49" s="16" t="str">
        <x:v>OLS 1.0 + controlled glossaries</x:v>
      </x:c>
      <x:c r="E49" s="16" t="str">
        <x:v>03_OLS_LANGUAGE_AND_GRAMMAR_MAP.md / 06_GLOSSARY.md</x:v>
      </x:c>
      <x:c r="F49" s="16" t="str">
        <x:v>Residual</x:v>
      </x:c>
      <x:c r="G49" s="16" t="str">
        <x:v>metric and tolerance</x:v>
      </x:c>
      <x:c r="H49" s="16" t="str">
        <x:v>declared decoder</x:v>
      </x:c>
      <x:c r="I49" s="16" t="str">
        <x:v>typed mismatch after declared comparison</x:v>
      </x:c>
      <x:c r="J49" s="16" t="str">
        <x:v>semantic/documentary</x:v>
      </x:c>
      <x:c r="K49" s="16" t="str">
        <x:v>CONTROLLED_VOCABULARY</x:v>
      </x:c>
      <x:c r="L49" s="16" t="str">
        <x:v>REPOSITORY_AUTHORITY_MAP</x:v>
      </x:c>
      <x:c r="M49" s="16" t="str">
        <x:v>language_boundary</x:v>
      </x:c>
      <x:c r="N49" s="16" t="str">
        <x:v>Residual</x:v>
      </x:c>
      <x:c r="O49" s="16" t="str">
        <x:v>typed mismatch after declared comparison</x:v>
      </x:c>
      <x:c r="P49" s="16" t="str">
        <x:v>substance, failure, or error by itself</x:v>
      </x:c>
      <x:c r="Q49" s="16" t="str"/>
    </x:row>
    <x:row r="50">
      <x:c r="A50" s="16" t="str">
        <x:v>OLS-09</x:v>
      </x:c>
      <x:c r="B50" s="16" t="str">
        <x:v>OLS</x:v>
      </x:c>
      <x:c r="C50" s="16" t="str">
        <x:v>controlled glossary term</x:v>
      </x:c>
      <x:c r="D50" s="16" t="str">
        <x:v>OLS 1.0 + controlled glossaries</x:v>
      </x:c>
      <x:c r="E50" s="16" t="str">
        <x:v>03_OLS_LANGUAGE_AND_GRAMMAR_MAP.md / 06_GLOSSARY.md</x:v>
      </x:c>
      <x:c r="F50" s="16" t="str">
        <x:v>Orientation key</x:v>
      </x:c>
      <x:c r="G50" s="16" t="str">
        <x:v>projection and branch rule</x:v>
      </x:c>
      <x:c r="H50" s="16" t="str">
        <x:v>declared decoder</x:v>
      </x:c>
      <x:c r="I50" s="16" t="str">
        <x:v>side/provenance information disambiguating a many-to-one projection</x:v>
      </x:c>
      <x:c r="J50" s="16" t="str">
        <x:v>semantic/documentary</x:v>
      </x:c>
      <x:c r="K50" s="16" t="str">
        <x:v>CONTROLLED_VOCABULARY</x:v>
      </x:c>
      <x:c r="L50" s="16" t="str">
        <x:v>REPOSITORY_AUTHORITY_MAP</x:v>
      </x:c>
      <x:c r="M50" s="16" t="str">
        <x:v>language_boundary</x:v>
      </x:c>
      <x:c r="N50" s="16" t="str">
        <x:v>Orientation key</x:v>
      </x:c>
      <x:c r="O50" s="16" t="str">
        <x:v>side/provenance information disambiguating a many-to-one projection</x:v>
      </x:c>
      <x:c r="P50" s="16" t="str">
        <x:v>recovery of information never recorded</x:v>
      </x:c>
      <x:c r="Q50" s="16" t="str"/>
    </x:row>
    <x:row r="51">
      <x:c r="A51" s="16" t="str">
        <x:v>OLS-10</x:v>
      </x:c>
      <x:c r="B51" s="16" t="str">
        <x:v>OLS</x:v>
      </x:c>
      <x:c r="C51" s="16" t="str">
        <x:v>expression and geometry vocabulary</x:v>
      </x:c>
      <x:c r="D51" s="16" t="str">
        <x:v>OLS 1.0 + controlled glossaries</x:v>
      </x:c>
      <x:c r="E51" s="16" t="str">
        <x:v>03_OLS_LANGUAGE_AND_GRAMMAR_MAP.md / 06_GLOSSARY.md</x:v>
      </x:c>
      <x:c r="F51" s="16" t="str">
        <x:v>Shadow / reflection / refraction</x:v>
      </x:c>
      <x:c r="G51" s="16" t="str">
        <x:v>geometric operator</x:v>
      </x:c>
      <x:c r="H51" s="16" t="str">
        <x:v>declared decoder</x:v>
      </x:c>
      <x:c r="I51" s="16" t="str">
        <x:v>projection, occlusion, symmetry, or direction change under a declared model</x:v>
      </x:c>
      <x:c r="J51" s="16" t="str">
        <x:v>semantic/documentary</x:v>
      </x:c>
      <x:c r="K51" s="16" t="str">
        <x:v>CONTROLLED_VOCABULARY</x:v>
      </x:c>
      <x:c r="L51" s="16" t="str">
        <x:v>REPOSITORY_AUTHORITY_MAP</x:v>
      </x:c>
      <x:c r="M51" s="16" t="str">
        <x:v>language_boundary</x:v>
      </x:c>
      <x:c r="N51" s="16" t="str">
        <x:v>Shadow / reflection / refraction</x:v>
      </x:c>
      <x:c r="O51" s="16" t="str">
        <x:v>projection, occlusion, symmetry, or direction change under a declared model</x:v>
      </x:c>
      <x:c r="P51" s="16" t="str">
        <x:v>physical optics without measured optical carrier</x:v>
      </x:c>
      <x:c r="Q51" s="16" t="str"/>
    </x:row>
    <x:row r="52">
      <x:c r="A52" s="16" t="str">
        <x:v>ACR-EXT-01</x:v>
      </x:c>
      <x:c r="B52" s="16" t="str">
        <x:v>ACR</x:v>
      </x:c>
      <x:c r="C52" s="16" t="str">
        <x:v>qualified prospective external execution</x:v>
      </x:c>
      <x:c r="D52" s="16" t="str">
        <x:v>ACR External Blind 01 PhysioNet MIT-BIH</x:v>
      </x:c>
      <x:c r="E52" s="16" t="str">
        <x:v>SEALED_EXTERNAL_BLIND_RESULT.json</x:v>
      </x:c>
      <x:c r="F52" s="16" t="str">
        <x:v>ACR33/44/35/43/45 on MIT-BIH record 100</x:v>
      </x:c>
      <x:c r="G52" s="16" t="str">
        <x:v>first 4096 aligned samples; MLII/V5; mV</x:v>
      </x:c>
      <x:c r="H52" s="16" t="str">
        <x:v>A/B↔M/S; direct Cartesian↔polar; ordered SHA-256 chain</x:v>
      </x:c>
      <x:c r="I52" s="16" t="str">
        <x:v>PASS_EXTERNAL_BLIND_REPLICATION; qualified by postrun control audit</x:v>
      </x:c>
      <x:c r="J52" s="16" t="str">
        <x:v>mV two-axis basis + ordinal ledger</x:v>
      </x:c>
      <x:c r="K52" s="16" t="str">
        <x:v>PASS_EXTERNAL_BLIND_REPLICATION_QUALIFIED</x:v>
      </x:c>
      <x:c r="L52" s="16" t="str">
        <x:v>PROSPECTIVE_EXTERNAL_RECORD_WITH_POSTRUN_CONTROL_AUDIT</x:v>
      </x:c>
      <x:c r="M52" s="16" t="str">
        <x:v>external_adapter_gate</x:v>
      </x:c>
      <x:c r="N52" s="16" t="str">
        <x:v>ECG / wave / point</x:v>
      </x:c>
      <x:c r="O52" s="16" t="str">
        <x:v>source-declared aligned measurement cuts</x:v>
      </x:c>
      <x:c r="P52" s="16" t="str">
        <x:v>Record-level adapter evidence only; the sealed runner did not execute every declared control and no physiology or clinical claim follows.</x:v>
      </x:c>
      <x:c r="Q52" s="16" t="str">
        <x:v>a28a28666311bcf0e9902d8786751d104904e2ad30c6f48ca0d964b57c1e40fc</x:v>
      </x:c>
    </x:row>
    <x:row r="53">
      <x:c r="A53" s="16" t="str">
        <x:v>ACR-EXT-01-CONTROLS</x:v>
      </x:c>
      <x:c r="B53" s="16" t="str">
        <x:v>ACR</x:v>
      </x:c>
      <x:c r="C53" s="16" t="str">
        <x:v>postrun control implementation audit</x:v>
      </x:c>
      <x:c r="D53" s="16" t="str">
        <x:v>ACR External Blind 01 PhysioNet MIT-BIH</x:v>
      </x:c>
      <x:c r="E53" s="16" t="str">
        <x:v>POSTRUN_CONTROL_IMPLEMENTATION_AUDIT.json</x:v>
      </x:c>
      <x:c r="F53" s="16" t="str">
        <x:v>orientation, unit, alignment, gain, hash and event controls</x:v>
      </x:c>
      <x:c r="G53" s="16" t="str">
        <x:v>record-100 sealed result and frozen protocol</x:v>
      </x:c>
      <x:c r="H53" s="16" t="str">
        <x:v>construct mutations and invoke validators</x:v>
      </x:c>
      <x:c r="I53" s="16" t="str">
        <x:v>PASS_CONTROL_IMPLEMENTATION_AUDIT; checks=7</x:v>
      </x:c>
      <x:c r="J53" s="16" t="str">
        <x:v>binary accept/reject</x:v>
      </x:c>
      <x:c r="K53" s="16" t="str">
        <x:v>PASS_CONTROL_IMPLEMENTATION_AUDIT</x:v>
      </x:c>
      <x:c r="L53" s="16" t="str">
        <x:v>POSTRUN_MUTATION_CONTROL_AUDIT</x:v>
      </x:c>
      <x:c r="M53" s="16" t="str">
        <x:v>terminal_audit</x:v>
      </x:c>
      <x:c r="N53" s="16" t="str">
        <x:v>tamper / missing key / wrong unit</x:v>
      </x:c>
      <x:c r="O53" s="16" t="str">
        <x:v>executed fail-closed controls</x:v>
      </x:c>
      <x:c r="P53" s="16" t="str">
        <x:v>Postrun audit closes implementation evidence only; it does not retroactively make the original runner a clean sealed-control execution.</x:v>
      </x:c>
      <x:c r="Q53" s="16" t="str">
        <x:v>80d7a0c85f94c0e0c18757af7b8a0991742cfe338406a1ae69ea6ee13c73029a</x:v>
      </x:c>
    </x:row>
    <x:row r="54">
      <x:c r="A54" s="16" t="str">
        <x:v>ACR-EXT-02</x:v>
      </x:c>
      <x:c r="B54" s="16" t="str">
        <x:v>ACR</x:v>
      </x:c>
      <x:c r="C54" s="16" t="str">
        <x:v>clean prospective external execution</x:v>
      </x:c>
      <x:c r="D54" s="16" t="str">
        <x:v>ACR External Blind 02 PhysioNet MIT-BIH</x:v>
      </x:c>
      <x:c r="E54" s="16" t="str">
        <x:v>SEALED_EXTERNAL_BLIND_RESULT.json</x:v>
      </x:c>
      <x:c r="F54" s="16" t="str">
        <x:v>ACR33/44/35/43/45 on MIT-BIH record 101</x:v>
      </x:c>
      <x:c r="G54" s="16" t="str">
        <x:v>first 4096 aligned samples; MLII/V1; mV</x:v>
      </x:c>
      <x:c r="H54" s="16" t="str">
        <x:v>A/B↔M/S; direct Cartesian↔polar; ordered SHA-256 chain</x:v>
      </x:c>
      <x:c r="I54" s="16" t="str">
        <x:v>PASS_EXTERNAL_BLIND_REPLICATION_CLEAN; deterministic rerun</x:v>
      </x:c>
      <x:c r="J54" s="16" t="str">
        <x:v>mV two-axis basis + ordinal ledger</x:v>
      </x:c>
      <x:c r="K54" s="16" t="str">
        <x:v>PASS_EXTERNAL_BLIND_REPLICATION_CLEAN</x:v>
      </x:c>
      <x:c r="L54" s="16" t="str">
        <x:v>PROSPECTIVE_EXTERNAL_RECORD_SEALED_CONTROLS</x:v>
      </x:c>
      <x:c r="M54" s="16" t="str">
        <x:v>external_adapter_gate</x:v>
      </x:c>
      <x:c r="N54" s="16" t="str">
        <x:v>ECG / wave / point</x:v>
      </x:c>
      <x:c r="O54" s="16" t="str">
        <x:v>source-declared aligned measurement cuts</x:v>
      </x:c>
      <x:c r="P54" s="16" t="str">
        <x:v>Second record from the same dataset; validates adapter and receipt behavior only, not physiology, diagnosis, causality or profile activation.</x:v>
      </x:c>
      <x:c r="Q54" s="16" t="str">
        <x:v>b993ab6f5ccdd74ac66c6d3a1a9d7cf373fc782bde4fd43243bdf03abf4c1a56</x:v>
      </x:c>
    </x:row>
    <x:row r="55">
      <x:c r="A55" s="16" t="str">
        <x:v>ACR-EXT-02-CONTROLS</x:v>
      </x:c>
      <x:c r="B55" s="16" t="str">
        <x:v>ACR</x:v>
      </x:c>
      <x:c r="C55" s="16" t="str">
        <x:v>sealed external destruction controls</x:v>
      </x:c>
      <x:c r="D55" s="16" t="str">
        <x:v>ACR External Blind 02 PhysioNet MIT-BIH</x:v>
      </x:c>
      <x:c r="E55" s="16" t="str">
        <x:v>SEALED_EXTERNAL_BLIND_CONTROLS.json</x:v>
      </x:c>
      <x:c r="F55" s="16" t="str">
        <x:v>orientation, unit, alignment, gain, hash and event controls</x:v>
      </x:c>
      <x:c r="G55" s="16" t="str">
        <x:v>sealed record-101 runner and source</x:v>
      </x:c>
      <x:c r="H55" s="16" t="str">
        <x:v>construct six mutations and invoke validators</x:v>
      </x:c>
      <x:c r="I55" s="16" t="str">
        <x:v>PASS_ALL_EXECUTED_DESTRUCTION_CONTROLS; controls=6</x:v>
      </x:c>
      <x:c r="J55" s="16" t="str">
        <x:v>binary accept/reject</x:v>
      </x:c>
      <x:c r="K55" s="16" t="str">
        <x:v>PASS_ALL_EXECUTED_DESTRUCTION_CONTROLS</x:v>
      </x:c>
      <x:c r="L55" s="16" t="str">
        <x:v>SEALED_NEGATIVE_CONTROL_EXECUTION</x:v>
      </x:c>
      <x:c r="M55" s="16" t="str">
        <x:v>terminal_audit</x:v>
      </x:c>
      <x:c r="N55" s="16" t="str">
        <x:v>tamper / missing key / wrong unit</x:v>
      </x:c>
      <x:c r="O55" s="16" t="str">
        <x:v>executed fail-closed controls</x:v>
      </x:c>
      <x:c r="P55" s="16" t="str">
        <x:v>Control rejection validates contract sensitivity, not the ECG source or a scientific mechanism.</x:v>
      </x:c>
      <x:c r="Q55" s="16" t="str">
        <x:v>c82a5488c1522e93d0ccf003bd6d611cf4174adf430b8954415a5c872fffe6da</x:v>
      </x:c>
    </x:row>
    <x:row r="56">
      <x:c r="A56" s="16" t="str">
        <x:v>ACR-CROSS-03</x:v>
      </x:c>
      <x:c r="B56" s="16" t="str">
        <x:v>ACR</x:v>
      </x:c>
      <x:c r="C56" s="16" t="str">
        <x:v>prospective cross-dataset execution</x:v>
      </x:c>
      <x:c r="D56" s="16" t="str">
        <x:v>ACR Cross-Dataset Blind 03 UCI Appliances</x:v>
      </x:c>
      <x:c r="E56" s="16" t="str">
        <x:v>SEALED_CROSS_DATASET_RESULT.json</x:v>
      </x:c>
      <x:c r="F56" s="16" t="str">
        <x:v>ACR33/44/35/43/45 on UCI T1/T2 temperatures</x:v>
      </x:c>
      <x:c r="G56" s="16" t="str">
        <x:v>first 4096 aligned 10-minute rows; kitchen/living room; C</x:v>
      </x:c>
      <x:c r="H56" s="16" t="str">
        <x:v>A/B↔M/S; direct Cartesian↔polar; ordered SHA-256 chain</x:v>
      </x:c>
      <x:c r="I56" s="16" t="str">
        <x:v>PASS_CROSS_DATASET_BLIND_REPLICATION; deterministic rerun</x:v>
      </x:c>
      <x:c r="J56" s="16" t="str">
        <x:v>C two-axis basis + ordinal ledger</x:v>
      </x:c>
      <x:c r="K56" s="16" t="str">
        <x:v>PASS_CROSS_DATASET_BLIND_REPLICATION</x:v>
      </x:c>
      <x:c r="L56" s="16" t="str">
        <x:v>PROSPECTIVE_CROSS_DATASET_SEALED_CONTROLS</x:v>
      </x:c>
      <x:c r="M56" s="16" t="str">
        <x:v>cross_dataset_adapter_gate</x:v>
      </x:c>
      <x:c r="N56" s="16" t="str">
        <x:v>temperature / correlation</x:v>
      </x:c>
      <x:c r="O56" s="16" t="str">
        <x:v>source-declared aligned temperature cuts</x:v>
      </x:c>
      <x:c r="P56" s="16" t="str">
        <x:v>Cross-dataset adapter evidence only; correlation is descriptive and does not establish coupling, causality, building physics or a universal mechanism.</x:v>
      </x:c>
      <x:c r="Q56" s="16" t="str">
        <x:v>f56b8dc492b630c790b3952b0e0d5b6c505c5a9f59b4ab94b1fc73a4f7826c7b</x:v>
      </x:c>
    </x:row>
    <x:row r="57">
      <x:c r="A57" s="16" t="str">
        <x:v>ACR-CROSS-03-CONTROLS</x:v>
      </x:c>
      <x:c r="B57" s="16" t="str">
        <x:v>ACR</x:v>
      </x:c>
      <x:c r="C57" s="16" t="str">
        <x:v>sealed cross-dataset destruction controls</x:v>
      </x:c>
      <x:c r="D57" s="16" t="str">
        <x:v>ACR Cross-Dataset Blind 03 UCI Appliances</x:v>
      </x:c>
      <x:c r="E57" s="16" t="str">
        <x:v>SEALED_CROSS_DATASET_CONTROLS.json</x:v>
      </x:c>
      <x:c r="F57" s="16" t="str">
        <x:v>orientation, unit, row alignment, cadence, hash and event controls</x:v>
      </x:c>
      <x:c r="G57" s="16" t="str">
        <x:v>sealed UCI runner and source</x:v>
      </x:c>
      <x:c r="H57" s="16" t="str">
        <x:v>construct six mutations and invoke validators</x:v>
      </x:c>
      <x:c r="I57" s="16" t="str">
        <x:v>PASS_ALL_EXECUTED_DESTRUCTION_CONTROLS; controls=6</x:v>
      </x:c>
      <x:c r="J57" s="16" t="str">
        <x:v>binary accept/reject</x:v>
      </x:c>
      <x:c r="K57" s="16" t="str">
        <x:v>PASS_ALL_EXECUTED_DESTRUCTION_CONTROLS</x:v>
      </x:c>
      <x:c r="L57" s="16" t="str">
        <x:v>SEALED_CROSS_DATASET_NEGATIVE_CONTROL_EXECUTION</x:v>
      </x:c>
      <x:c r="M57" s="16" t="str">
        <x:v>terminal_audit</x:v>
      </x:c>
      <x:c r="N57" s="16" t="str">
        <x:v>tamper / missing key / wrong unit / wrong cadence</x:v>
      </x:c>
      <x:c r="O57" s="16" t="str">
        <x:v>executed fail-closed controls</x:v>
      </x:c>
      <x:c r="P57" s="16" t="str">
        <x:v>Control rejection validates transport-contract sensitivity, not the temperature relationship or any domain theory.</x:v>
      </x:c>
      <x:c r="Q57" s="16" t="str">
        <x:v>2482bc16cc667dab1e553d07ad3ae8356a5161a38c3de55e338bf4f4cb375b71</x:v>
      </x:c>
    </x:row>
    <x:row r="58">
      <x:c r="A58" t="str">
        <x:v>ACR-PRED-04</x:v>
      </x:c>
      <x:c r="B58" t="str">
        <x:v>ACR</x:v>
      </x:c>
      <x:c r="C58" t="str">
        <x:v>prospective prediction gate</x:v>
      </x:c>
      <x:c r="D58" t="str">
        <x:v>ACR Prediction Gate 04 UCI T1/T2</x:v>
      </x:c>
      <x:c r="E58" t="str">
        <x:v>SEALED_PREDICTION_RESULT.json</x:v>
      </x:c>
      <x:c r="F58" t="str">
        <x:v>incremental 60-minute T2-change prediction</x:v>
      </x:c>
      <x:c r="G58" t="str">
        <x:v>chronological UCI holdout; P1 T2 history; P2 T1+T2</x:v>
      </x:c>
      <x:c r="H58" t="str">
        <x:v>training-standardized OLS; moving-block paired bootstrap</x:v>
      </x:c>
      <x:c r="I58" t="str">
        <x:v>FAIL_PREDICTION_GATE; P2 MAE 1.33% worse than P1</x:v>
      </x:c>
      <x:c r="J58" t="str">
        <x:v>C change / MAE</x:v>
      </x:c>
      <x:c r="K58" t="str">
        <x:v>FAIL_PREDICTION_GATE</x:v>
      </x:c>
      <x:c r="L58" t="str">
        <x:v>PROSPECTIVE_PREDICTION_SEALED_CONTROLS</x:v>
      </x:c>
      <x:c r="M58" t="str">
        <x:v>prediction_gate</x:v>
      </x:c>
      <x:c r="N58" t="str">
        <x:v>T1/T2 / coupling</x:v>
      </x:c>
      <x:c r="O58" t="str">
        <x:v>incremental predictive value</x:v>
      </x:c>
      <x:c r="P58" t="str">
        <x:v>Valid negative for one frozen UCI holdout. Correlation and reversible coordinates do not establish predictive coupling, causality, physics or profile activation.</x:v>
      </x:c>
      <x:c r="Q58" t="str">
        <x:v>c7183944a5d5fbeb25994bc6c4847537c9119e7c2346524637d7d88ce51ab53e</x:v>
      </x:c>
    </x:row>
    <x:row r="59">
      <x:c r="A59" t="str">
        <x:v>ACR-PRED-04-CONTROLS</x:v>
      </x:c>
      <x:c r="B59" t="str">
        <x:v>ACR</x:v>
      </x:c>
      <x:c r="C59" t="str">
        <x:v>sealed prediction destruction controls</x:v>
      </x:c>
      <x:c r="D59" t="str">
        <x:v>ACR Prediction Gate 04 UCI T1/T2</x:v>
      </x:c>
      <x:c r="E59" t="str">
        <x:v>SEALED_PREDICTION_CONTROLS.json</x:v>
      </x:c>
      <x:c r="F59" t="str">
        <x:v>alignment, unit, split, leakage, hash and event controls</x:v>
      </x:c>
      <x:c r="G59" t="str">
        <x:v>sealed prediction runner and UCI source</x:v>
      </x:c>
      <x:c r="H59" t="str">
        <x:v>construct six mutations and invoke validators</x:v>
      </x:c>
      <x:c r="I59" t="str">
        <x:v>PASS_ALL_EXECUTED_CONTROLS; controls=6</x:v>
      </x:c>
      <x:c r="J59" t="str">
        <x:v>binary accept/reject</x:v>
      </x:c>
      <x:c r="K59" t="str">
        <x:v>PASS_ALL_EXECUTED_CONTROLS</x:v>
      </x:c>
      <x:c r="L59" t="str">
        <x:v>SEALED_PREDICTION_NEGATIVE_CONTROL_EXECUTION</x:v>
      </x:c>
      <x:c r="M59" t="str">
        <x:v>terminal_audit</x:v>
      </x:c>
      <x:c r="N59" t="str">
        <x:v>tamper / leakage / wrong split</x:v>
      </x:c>
      <x:c r="O59" t="str">
        <x:v>executed fail-closed controls</x:v>
      </x:c>
      <x:c r="P59" t="str">
        <x:v>Control rejection validates protocol sensitivity, not the predictive hypothesis or a physical mechanism.</x:v>
      </x:c>
      <x:c r="Q59" t="str">
        <x:v>76cc7ae82bd0173fc93dc4fe2972f4d48dd02b232709ce8f0646e824285868bd</x:v>
      </x:c>
    </x:row>
    <x:row r="60">
      <x:c r="A60" t="str">
        <x:v>ACR-DISC-05</x:v>
      </x:c>
      <x:c r="B60" t="str">
        <x:v>ACR</x:v>
      </x:c>
      <x:c r="C60" t="str">
        <x:v>prospective discrimination gate</x:v>
      </x:c>
      <x:c r="D60" t="str">
        <x:v>ACR Discrimination Gate 05 UCI Gas Drift</x:v>
      </x:c>
      <x:c r="E60" t="str">
        <x:v>SEALED_DISCRIMINATION_RESULT.json</x:v>
      </x:c>
      <x:c r="F60" t="str">
        <x:v>six-gas discrimination under long-term sensor drift</x:v>
      </x:c>
      <x:c r="G60" t="str">
        <x:v>batches 1-8 train; batch 9 guard; batch 10 blind test; P1 Sensor 1; P2 Sensors 1+2</x:v>
      </x:c>
      <x:c r="H60" t="str">
        <x:v>training-standardized nearest centroid; paired class-stratified bootstrap</x:v>
      </x:c>
      <x:c r="I60" t="str">
        <x:v>FAIL_DISCRIMINATION_GATE; P2 34.22% vs P1 43.14%; delta=-8.92 pp</x:v>
      </x:c>
      <x:c r="J60" t="str">
        <x:v>six-class balanced accuracy</x:v>
      </x:c>
      <x:c r="K60" t="str">
        <x:v>FAIL_DISCRIMINATION_GATE</x:v>
      </x:c>
      <x:c r="L60" t="str">
        <x:v>PROSPECTIVE_DISCRIMINATION_SEALED_CONTROLS</x:v>
      </x:c>
      <x:c r="M60" t="str">
        <x:v>discrimination_gate</x:v>
      </x:c>
      <x:c r="N60" t="str">
        <x:v>gas / sensor / two cuts</x:v>
      </x:c>
      <x:c r="O60" t="str">
        <x:v>incremental discrimination under drift</x:v>
      </x:c>
      <x:c r="P60" t="str">
        <x:v>Valid negative for the frozen raw two-sensor concatenation. It does not show Sensor 2 is intrinsically useless or invalidate the runtime adapter.</x:v>
      </x:c>
      <x:c r="Q60" t="str">
        <x:v>9812956efae971b744227b3538ae05940a218a4e9c5f081b8f7853d5cc646ae4</x:v>
      </x:c>
    </x:row>
    <x:row r="61">
      <x:c r="A61" t="str">
        <x:v>ACR-DISC-05-CONTROLS</x:v>
      </x:c>
      <x:c r="B61" t="str">
        <x:v>ACR</x:v>
      </x:c>
      <x:c r="C61" t="str">
        <x:v>sealed discrimination destruction controls</x:v>
      </x:c>
      <x:c r="D61" t="str">
        <x:v>ACR Discrimination Gate 05 UCI Gas Drift</x:v>
      </x:c>
      <x:c r="E61" t="str">
        <x:v>SEALED_DISCRIMINATION_CONTROLS.json</x:v>
      </x:c>
      <x:c r="F61" t="str">
        <x:v>alignment, feature schema, leakage, split, hash and receipt controls</x:v>
      </x:c>
      <x:c r="G61" t="str">
        <x:v>sealed discrimination runner and UCI source</x:v>
      </x:c>
      <x:c r="H61" t="str">
        <x:v>construct mutations and invoke validators</x:v>
      </x:c>
      <x:c r="I61" t="str">
        <x:v>PASS_ALL_EXECUTED_CONTROLS; controls=13</x:v>
      </x:c>
      <x:c r="J61" t="str">
        <x:v>binary accept/reject</x:v>
      </x:c>
      <x:c r="K61" t="str">
        <x:v>PASS_ALL_EXECUTED_CONTROLS</x:v>
      </x:c>
      <x:c r="L61" t="str">
        <x:v>SEALED_DISCRIMINATION_NEGATIVE_CONTROL_EXECUTION</x:v>
      </x:c>
      <x:c r="M61" t="str">
        <x:v>terminal_audit</x:v>
      </x:c>
      <x:c r="N61" t="str">
        <x:v>tamper / leakage / wrong split</x:v>
      </x:c>
      <x:c r="O61" t="str">
        <x:v>executed fail-closed controls</x:v>
      </x:c>
      <x:c r="P61" t="str">
        <x:v>Control rejection validates contract sensitivity, not gas chemistry, a universal two-cut law or profile activation.</x:v>
      </x:c>
      <x:c r="Q61" t="str">
        <x:v>4abbb2f336734e8e4a9b319abe23304962fb4af8564b0bedbd3936f8c5fa5dd8</x:v>
      </x:c>
    </x:row>
    <x:row r="62" ht="54" customHeight="1">
      <x:c r="A62" s="24" t="str">
        <x:v>NUM-XV-15</x:v>
      </x:c>
      <x:c r="B62" s="24" t="str">
        <x:v>OLS</x:v>
      </x:c>
      <x:c r="C62" s="24" t="str">
        <x:v>typed number/glyph bridge</x:v>
      </x:c>
      <x:c r="D62" s="24" t="str">
        <x:v>HZ/FZ Number–Glyph Register</x:v>
      </x:c>
      <x:c r="E62" s="24" t="str">
        <x:v>10_NUMBER_GLYPH_OPERATOR_REGISTER.md</x:v>
      </x:c>
      <x:c r="F62" s="24" t="str">
        <x:v>15 / XV / CROSS→SPLIT</x:v>
      </x:c>
      <x:c r="G62" s="24" t="str">
        <x:v>6=2×3; 9=3²; p₂=3; p₃=5</x:v>
      </x:c>
      <x:c r="H62" s="24" t="str">
        <x:v>6+9=15; p₂×p₃=15; ROMAN(15)=XV; OLS_GLYPH(XV)=CROSS→SPLIT</x:v>
      </x:c>
      <x:c r="I62" s="24" t="str">
        <x:v>exact identities plus local mnemonic</x:v>
      </x:c>
      <x:c r="J62" s="24" t="str">
        <x:v>integer / Roman numeral / OLS glyph</x:v>
      </x:c>
      <x:c r="K62" s="24" t="str">
        <x:v>EXACT_ARITHMETIC_TYPED_MNEMONIC</x:v>
      </x:c>
      <x:c r="L62" s="24" t="str">
        <x:v>EXACT_IDENTITIES_PLUS_LOCAL_DECODER</x:v>
      </x:c>
      <x:c r="M62" s="24" t="str">
        <x:v>orientation_hypothesis</x:v>
      </x:c>
      <x:c r="N62" s="24" t="str">
        <x:v>Numbermagick / XV / cross split</x:v>
      </x:c>
      <x:c r="O62" s="24" t="str">
        <x:v>typed value-index-glyph bridge</x:v>
      </x:c>
      <x:c r="P62" s="24" t="str">
        <x:v>X→V is a local mnemonic; Roman notation does not establish geometry, recurrence or physics.</x:v>
      </x:c>
      <x:c r="Q62" s="24" t="str">
        <x:v>084defefe08e211e2f6f352a72f4d4f59d73555db9b92c605ca82f08b2b50c0c</x:v>
      </x:c>
    </x:row>
    <x:row r="63" ht="54" customHeight="1">
      <x:c r="A63" s="24" t="str">
        <x:v>NUM-P23</x:v>
      </x:c>
      <x:c r="B63" s="24" t="str">
        <x:v>OLS</x:v>
      </x:c>
      <x:c r="C63" s="24" t="str">
        <x:v>prime-index address</x:v>
      </x:c>
      <x:c r="D63" s="24" t="str">
        <x:v>HZ/FZ Number–Glyph Register</x:v>
      </x:c>
      <x:c r="E63" s="24" t="str">
        <x:v>10_NUMBER_GLYPH_OPERATOR_REGISTER.md</x:v>
      </x:c>
      <x:c r="F63" s="24" t="str">
        <x:v>(2,3) / (p₂,p₃) / 23</x:v>
      </x:c>
      <x:c r="G63" s="24" t="str">
        <x:v>p₁=2; p₂=3; p₃=5</x:v>
      </x:c>
      <x:c r="H63" s="24" t="str">
        <x:v>address (2,3)→(3,5); p₂×p₃=15; CONCAT10(2,3)=23; 23=p₉</x:v>
      </x:c>
      <x:c r="I63" s="24" t="str">
        <x:v>typed product and typed decimal address</x:v>
      </x:c>
      <x:c r="J63" s="24" t="str">
        <x:v>prime index / integer / decimal string</x:v>
      </x:c>
      <x:c r="K63" s="24" t="str">
        <x:v>SUPPORTED_EXACT_TYPED</x:v>
      </x:c>
      <x:c r="L63" s="24" t="str">
        <x:v>EXACT_IDENTITIES_WITH_REPRESENTATION_BOUNDARY</x:v>
      </x:c>
      <x:c r="M63" s="24" t="str">
        <x:v>address_decoder</x:v>
      </x:c>
      <x:c r="N63" s="24" t="str">
        <x:v>P2-P3 / 23</x:v>
      </x:c>
      <x:c r="O63" s="24" t="str">
        <x:v>prime-index address plus concatenation</x:v>
      </x:c>
      <x:c r="P63" s="24" t="str">
        <x:v>CONCAT10 is base-10 representation, not multiplication and not a base-independent law.</x:v>
      </x:c>
      <x:c r="Q63" s="24" t="str">
        <x:v>084defefe08e211e2f6f352a72f4d4f59d73555db9b92c605ca82f08b2b50c0c</x:v>
      </x:c>
    </x:row>
    <x:row r="64" ht="54" customHeight="1">
      <x:c r="A64" s="24" t="str">
        <x:v>NUM-91</x:v>
      </x:c>
      <x:c r="B64" s="24" t="str">
        <x:v>OLS</x:v>
      </x:c>
      <x:c r="C64" s="24" t="str">
        <x:v>factor and Roman-notation record</x:v>
      </x:c>
      <x:c r="D64" s="24" t="str">
        <x:v>HZ/FZ Number–Glyph Register</x:v>
      </x:c>
      <x:c r="E64" s="24" t="str">
        <x:v>10_NUMBER_GLYPH_OPERATOR_REGISTER.md</x:v>
      </x:c>
      <x:c r="F64" s="24" t="str">
        <x:v>91 / XIII×VII</x:v>
      </x:c>
      <x:c r="G64" s="24" t="str">
        <x:v>13; 7; Roman numeral decoder</x:v>
      </x:c>
      <x:c r="H64" s="24" t="str">
        <x:v>13×7=91; ROMAN(13)=XIII; ROMAN(7)=VII</x:v>
      </x:c>
      <x:c r="I64" s="24" t="str">
        <x:v>XIII×VII=91</x:v>
      </x:c>
      <x:c r="J64" s="24" t="str">
        <x:v>integer / Roman numeral</x:v>
      </x:c>
      <x:c r="K64" s="24" t="str">
        <x:v>SUPPORTED_EXACT_OPEN_BRIDGE</x:v>
      </x:c>
      <x:c r="L64" s="24" t="str">
        <x:v>EXACT_IDENTITY_PLUS_UNRESOLVED_BRIDGE</x:v>
      </x:c>
      <x:c r="M64" s="24" t="str">
        <x:v>hypothesis_registry</x:v>
      </x:c>
      <x:c r="N64" s="24" t="str">
        <x:v>91 / XIII*VII / 15 / 3+2</x:v>
      </x:c>
      <x:c r="O64" s="24" t="str">
        <x:v>factorization with unresolved proposed bridge</x:v>
      </x:c>
      <x:c r="P64" s="24" t="str">
        <x:v>No declared operator maps 91 to 15 or 3+2; that link remains UNRESOLVED_BRIDGE.</x:v>
      </x:c>
      <x:c r="Q64" s="24" t="str">
        <x:v>084defefe08e211e2f6f352a72f4d4f59d73555db9b92c605ca82f08b2b50c0c</x:v>
      </x:c>
    </x:row>
    <x:row r="65" ht="54" customHeight="1">
      <x:c r="A65" s="24" t="str">
        <x:v>NUM-72</x:v>
      </x:c>
      <x:c r="B65" s="24" t="str">
        <x:v>OLS</x:v>
      </x:c>
      <x:c r="C65" s="24" t="str">
        <x:v>factor/exponent record</x:v>
      </x:c>
      <x:c r="D65" s="24" t="str">
        <x:v>HZ/FZ Number–Glyph Register</x:v>
      </x:c>
      <x:c r="E65" s="24" t="str">
        <x:v>10_NUMBER_GLYPH_OPERATOR_REGISTER.md</x:v>
      </x:c>
      <x:c r="F65" s="24" t="str">
        <x:v>72 / 72³</x:v>
      </x:c>
      <x:c r="G65" s="24" t="str">
        <x:v>72</x:v>
      </x:c>
      <x:c r="H65" s="24" t="str">
        <x:v>72=2³×3²; 72³=373248</x:v>
      </x:c>
      <x:c r="I65" s="24" t="str">
        <x:v>exact factorization and power</x:v>
      </x:c>
      <x:c r="J65" s="24" t="str">
        <x:v>integer</x:v>
      </x:c>
      <x:c r="K65" s="24" t="str">
        <x:v>SUPPORTED_EXACT</x:v>
      </x:c>
      <x:c r="L65" s="24" t="str">
        <x:v>EXACT_ARITHMETIC</x:v>
      </x:c>
      <x:c r="M65" s="24" t="str">
        <x:v>hypothesis_registry</x:v>
      </x:c>
      <x:c r="N65" s="24" t="str">
        <x:v>72^3 / mirror exponent</x:v>
      </x:c>
      <x:c r="O65" s="24" t="str">
        <x:v>prime factorization and exponentiation</x:v>
      </x:c>
      <x:c r="P65" s="24" t="str">
        <x:v>A visual mirror or boundary reading is not implied by the exponent identity.</x:v>
      </x:c>
      <x:c r="Q65" s="24" t="str">
        <x:v>084defefe08e211e2f6f352a72f4d4f59d73555db9b92c605ca82f08b2b50c0c</x:v>
      </x:c>
    </x:row>
    <x:row r="66" ht="54" customHeight="1">
      <x:c r="A66" s="24" t="str">
        <x:v>NUM-97-P25</x:v>
      </x:c>
      <x:c r="B66" s="24" t="str">
        <x:v>OLS</x:v>
      </x:c>
      <x:c r="C66" s="24" t="str">
        <x:v>prime-index record</x:v>
      </x:c>
      <x:c r="D66" s="24" t="str">
        <x:v>Prime Genesis audit + Number–Glyph Register</x:v>
      </x:c>
      <x:c r="E66" s="24" t="str">
        <x:v>10_NUMBER_GLYPH_OPERATOR_REGISTER.md</x:v>
      </x:c>
      <x:c r="F66" s="24" t="str">
        <x:v>97=p₂₅</x:v>
      </x:c>
      <x:c r="G66" s="24" t="str">
        <x:v>prime sequence</x:v>
      </x:c>
      <x:c r="H66" s="24" t="str">
        <x:v>PRIME_INDEX(25)=97</x:v>
      </x:c>
      <x:c r="I66" s="24" t="str">
        <x:v>97 at prime index 25</x:v>
      </x:c>
      <x:c r="J66" s="24" t="str">
        <x:v>prime index / integer</x:v>
      </x:c>
      <x:c r="K66" s="24" t="str">
        <x:v>SUPPORTED_EXACT</x:v>
      </x:c>
      <x:c r="L66" s="24" t="str">
        <x:v>EXACT_ARITHMETIC</x:v>
      </x:c>
      <x:c r="M66" s="24" t="str">
        <x:v>reference_marker</x:v>
      </x:c>
      <x:c r="N66" s="24" t="str">
        <x:v>97 / 25th prime</x:v>
      </x:c>
      <x:c r="O66" s="24" t="str">
        <x:v>prime-index identity</x:v>
      </x:c>
      <x:c r="P66" s="24" t="str">
        <x:v>The exact index does not establish a link to the HZ/FZ crossing or a physical boundary.</x:v>
      </x:c>
      <x:c r="Q66" s="24" t="str">
        <x:v>084defefe08e211e2f6f352a72f4d4f59d73555db9b92c605ca82f08b2b50c0c</x:v>
      </x:c>
    </x:row>
    <x:row r="67" ht="54" customHeight="1">
      <x:c r="A67" s="24" t="str">
        <x:v>NUM-HZFZ-X</x:v>
      </x:c>
      <x:c r="B67" s="24" t="str">
        <x:v>OLS</x:v>
      </x:c>
      <x:c r="C67" s="24" t="str">
        <x:v>observed join-cross-split candidate</x:v>
      </x:c>
      <x:c r="D67" s="24" t="str">
        <x:v>HZ/FZ Public 01</x:v>
      </x:c>
      <x:c r="E67" s="24" t="str">
        <x:v>CYCLE_PATH_SEQUENCE_RESULT.json; 10_NUMBER_GLYPH_OPERATOR_REGISTER.md</x:v>
      </x:c>
      <x:c r="F67" s="24" t="str">
        <x:v>JOIN(6,9)→CROSS(7.556191592)→SPLIT</x:v>
      </x:c>
      <x:c r="G67" s="24" t="str">
        <x:v>declared active-order curves; linear interpolation; bracket labels 6 and 9</x:v>
      </x:c>
      <x:c r="H67" s="24" t="str">
        <x:v>x*=7.556191592015567; x*−7.5=0.056191592015567</x:v>
      </x:c>
      <x:c r="I67" s="24" t="str">
        <x:v>alignment-sensitive crossing and residual</x:v>
      </x:c>
      <x:c r="J67" s="24" t="str">
        <x:v>cycle-order coordinate</x:v>
      </x:c>
      <x:c r="K67" s="24" t="str">
        <x:v>OBSERVED_EXPLORATORY_ENCODING</x:v>
      </x:c>
      <x:c r="L67" s="24" t="str">
        <x:v>POST_HOC_ALIGNMENT_SENSITIVE</x:v>
      </x:c>
      <x:c r="M67" s="24" t="str">
        <x:v>candidate_gate</x:v>
      </x:c>
      <x:c r="N67" s="24" t="str">
        <x:v>steps 7/8 / 0.056 / join cross split</x:v>
      </x:c>
      <x:c r="O67" s="24" t="str">
        <x:v>declared crossing with typed residual</x:v>
      </x:c>
      <x:c r="P67" s="24" t="str">
        <x:v>Q1000(residual)=56 only under a frozen quantizer; no prime split or universal recurrence is established.</x:v>
      </x:c>
      <x:c r="Q67" s="24" t="str">
        <x:v>084defefe08e211e2f6f352a72f4d4f59d73555db9b92c605ca82f08b2b50c0c</x:v>
      </x:c>
    </x:row>
    <x:row r="68" ht="54" customHeight="1">
      <x:c r="A68" s="24" t="str">
        <x:v>NRS01-CHAIN</x:v>
      </x:c>
      <x:c r="B68" s="24" t="str">
        <x:v>NUMBER</x:v>
      </x:c>
      <x:c r="C68" s="24" t="str">
        <x:v>frozen arithmetic sandbox</x:v>
      </x:c>
      <x:c r="D68" s="24" t="str">
        <x:v>Number Relation Sandbox 01</x:v>
      </x:c>
      <x:c r="E68" s="24" t="str">
        <x:v>NUMBER_RELATION_RESULT.json</x:v>
      </x:c>
      <x:c r="F68" s="24" t="str">
        <x:v>(7,6) arithmetic and prime-index chain</x:v>
      </x:c>
      <x:c r="G68" s="24" t="str">
        <x:v>7; 6; 2; prime index 13</x:v>
      </x:c>
      <x:c r="H68" s="24" t="str">
        <x:v>7+6=13; P₁₃=41; 7²=49; 2⁶=64; 64−49=15</x:v>
      </x:c>
      <x:c r="I68" s="24" t="str">
        <x:v>verified exact chain</x:v>
      </x:c>
      <x:c r="J68" s="24" t="str">
        <x:v>integer / prime index</x:v>
      </x:c>
      <x:c r="K68" s="24" t="str">
        <x:v>SUPPORTED_EXACT</x:v>
      </x:c>
      <x:c r="L68" s="24" t="str">
        <x:v>EXECUTED_FROZEN_RETROSPECTIVE_AUDIT</x:v>
      </x:c>
      <x:c r="M68" s="24" t="str">
        <x:v>number_relation_sandbox</x:v>
      </x:c>
      <x:c r="N68" s="24" t="str">
        <x:v>7+6 / P13 / 41 / 49 / 64 / 15</x:v>
      </x:c>
      <x:c r="O68" s="24" t="str">
        <x:v>typed arithmetic chain</x:v>
      </x:c>
      <x:c r="P68" s="24" t="str">
        <x:v>Exact arithmetic; the selected chain is retrospective and is not an independent prediction.</x:v>
      </x:c>
      <x:c r="Q68" s="24" t="str">
        <x:v>fd11f3efbac6734a8fb6ec7d8674ea3040ca67508e4542e54615467c3de6c985</x:v>
      </x:c>
    </x:row>
    <x:row r="69" ht="54" customHeight="1">
      <x:c r="A69" s="24" t="str">
        <x:v>NRS01-PAL-12321</x:v>
      </x:c>
      <x:c r="B69" s="24" t="str">
        <x:v>NUMBER</x:v>
      </x:c>
      <x:c r="C69" s="24" t="str">
        <x:v>palindrome graph</x:v>
      </x:c>
      <x:c r="D69" s="24" t="str">
        <x:v>Number Relation Sandbox 01</x:v>
      </x:c>
      <x:c r="E69" s="24" t="str">
        <x:v>PALINDROME_GRAPH.csv</x:v>
      </x:c>
      <x:c r="F69" s="24" t="str">
        <x:v>REPUNIT10(n)² line with 12321 anchor</x:v>
      </x:c>
      <x:c r="G69" s="24" t="str">
        <x:v>1≤n≤9; decimal repunits</x:v>
      </x:c>
      <x:c r="H69" s="24" t="str">
        <x:v>Rₙ=REPUNIT10(n); output Rₙ²; PAL10(output)</x:v>
      </x:c>
      <x:c r="I69" s="24" t="str">
        <x:v>12321=111² at n=3; all nine outputs palindromic</x:v>
      </x:c>
      <x:c r="J69" s="24" t="str">
        <x:v>integer / base-10 string</x:v>
      </x:c>
      <x:c r="K69" s="24" t="str">
        <x:v>VERIFIED_BASE10_REPRESENTATION</x:v>
      </x:c>
      <x:c r="L69" s="24" t="str">
        <x:v>EXECUTED_ENUMERATION</x:v>
      </x:c>
      <x:c r="M69" s="24" t="str">
        <x:v>representation_graph</x:v>
      </x:c>
      <x:c r="N69" s="24" t="str">
        <x:v>The Palindrome / 12321</x:v>
      </x:c>
      <x:c r="O69" s="24" t="str">
        <x:v>bounded repunit-square palindrome line</x:v>
      </x:c>
      <x:c r="P69" s="24" t="str">
        <x:v>The line is base-10-dependent and does not contain every palindrome or imply a universal invariant.</x:v>
      </x:c>
      <x:c r="Q69" s="24" t="str">
        <x:v>fd11f3efbac6734a8fb6ec7d8674ea3040ca67508e4542e54615467c3de6c985</x:v>
      </x:c>
    </x:row>
    <x:row r="70" ht="54" customHeight="1">
      <x:c r="A70" s="24" t="str">
        <x:v>NRS01-PAIR</x:v>
      </x:c>
      <x:c r="B70" s="24" t="str">
        <x:v>NUMBER</x:v>
      </x:c>
      <x:c r="C70" s="24" t="str">
        <x:v>digit-pair control</x:v>
      </x:c>
      <x:c r="D70" s="24" t="str">
        <x:v>Number Relation Sandbox 01</x:v>
      </x:c>
      <x:c r="E70" s="24" t="str">
        <x:v>NUMBER_RELATION_RESULT.json</x:v>
      </x:c>
      <x:c r="F70" s="24" t="str">
        <x:v>14641 versus 41616</x:v>
      </x:c>
      <x:c r="G70" s="24" t="str">
        <x:v>11⁴; 204²; decimal digit-count vectors</x:v>
      </x:c>
      <x:c r="H70" s="24" t="str">
        <x:v>PAL10; SORT10; MULTISET_DISTANCE10; five-digit-square pair control</x:v>
      </x:c>
      <x:c r="I70" s="24" t="str">
        <x:v>14641 palindrome; 41616 non-palindrome; distance=1; control rate=599/23436</x:v>
      </x:c>
      <x:c r="J70" s="24" t="str">
        <x:v>integer / base-10 string</x:v>
      </x:c>
      <x:c r="K70" s="24" t="str">
        <x:v>SUPPORTED_BOUNDED</x:v>
      </x:c>
      <x:c r="L70" s="24" t="str">
        <x:v>EXECUTED_DESCRIPTIVE_NULL_COMPARISON</x:v>
      </x:c>
      <x:c r="M70" s="24" t="str">
        <x:v>representation_control</x:v>
      </x:c>
      <x:c r="N70" s="24" t="str">
        <x:v>same digits / 4→6</x:v>
      </x:c>
      <x:c r="O70" s="24" t="str">
        <x:v>one digit-multiset substitution</x:v>
      </x:c>
      <x:c r="P70" s="24" t="str">
        <x:v>The pair is not an anagram; selected digit similarity is not independently diagnostic.</x:v>
      </x:c>
      <x:c r="Q70" s="24" t="str">
        <x:v>fd11f3efbac6734a8fb6ec7d8674ea3040ca67508e4542e54615467c3de6c985</x:v>
      </x:c>
    </x:row>
    <x:row r="71" ht="54" customHeight="1">
      <x:c r="A71" s="24" t="str">
        <x:v>NRS01-11-7</x:v>
      </x:c>
      <x:c r="B71" s="24" t="str">
        <x:v>NUMBER</x:v>
      </x:c>
      <x:c r="C71" s="24" t="str">
        <x:v>rational decimal cycle</x:v>
      </x:c>
      <x:c r="D71" s="24" t="str">
        <x:v>Number Relation Sandbox 01</x:v>
      </x:c>
      <x:c r="E71" s="24" t="str">
        <x:v>NUMBER_RELATION_RESULT.json</x:v>
      </x:c>
      <x:c r="F71" s="24" t="str">
        <x:v>11/7 decimal expansion</x:v>
      </x:c>
      <x:c r="G71" s="24" t="str">
        <x:v>11; 7</x:v>
      </x:c>
      <x:c r="H71" s="24" t="str">
        <x:v>exact long division with remainder-state cycle detection</x:v>
      </x:c>
      <x:c r="I71" s="24" t="str">
        <x:v>11/7=1.(571428); primitive period=6</x:v>
      </x:c>
      <x:c r="J71" s="24" t="str">
        <x:v>rational / decimal string</x:v>
      </x:c>
      <x:c r="K71" s="24" t="str">
        <x:v>SUPPORTED_EXACT</x:v>
      </x:c>
      <x:c r="L71" s="24" t="str">
        <x:v>EXECUTED_EXACT_RATIONAL_AUDIT</x:v>
      </x:c>
      <x:c r="M71" s="24" t="str">
        <x:v>decimal_cycle_reference</x:v>
      </x:c>
      <x:c r="N71" s="24" t="str">
        <x:v>11/7 / 571428 / return loop</x:v>
      </x:c>
      <x:c r="O71" s="24" t="str">
        <x:v>periodic rational expansion</x:v>
      </x:c>
      <x:c r="P71" s="24" t="str">
        <x:v>The repetend is exact but does not establish a physical oscillation or universal cycle.</x:v>
      </x:c>
      <x:c r="Q71" s="24" t="str">
        <x:v>fd11f3efbac6734a8fb6ec7d8674ea3040ca67508e4542e54615467c3de6c985</x:v>
      </x:c>
    </x:row>
    <x:row r="72" ht="60" customHeight="1">
      <x:c r="A72" s="24" t="str">
        <x:v>NRS01-HOLDOUT-01</x:v>
      </x:c>
      <x:c r="B72" s="24" t="str">
        <x:v>NUMBER</x:v>
      </x:c>
      <x:c r="C72" s="24" t="str">
        <x:v>prospective representation holdout</x:v>
      </x:c>
      <x:c r="D72" s="24" t="str">
        <x:v>Number Relation Sandbox 01</x:v>
      </x:c>
      <x:c r="E72" s="24" t="str">
        <x:v>SEALED_HOLDOUT_RESULT.json; EXECUTED_HOLDOUT_RECEIPT.json</x:v>
      </x:c>
      <x:c r="F72" s="24" t="str">
        <x:v>decimal-palindromic root square enrichment</x:v>
      </x:c>
      <x:c r="G72" s="24" t="str">
        <x:v>sealed roots 10001..999999; 1798 eligible targets; adjacent controls r−1 and r+1</x:v>
      </x:c>
      <x:c r="H72" s="24" t="str">
        <x:v>PAL10(r); PAL10(r²); separate 99% Wilson intervals; frozen RR threshold</x:v>
      </x:c>
      <x:c r="I72" s="24" t="str">
        <x:v>PASS: targets 13/1798; controls 0/3596; separated 99% intervals; RR=Infinity</x:v>
      </x:c>
      <x:c r="J72" s="24" t="str">
        <x:v>integer / base-10 representation</x:v>
      </x:c>
      <x:c r="K72" s="24" t="str">
        <x:v>PASS_QUALIFIED_PROSPECTIVE_REPRESENTATION_HOLDOUT</x:v>
      </x:c>
      <x:c r="L72" s="24" t="str">
        <x:v>SEALED_PROSPECTIVE_HOLDOUT_WITH_CONTROLS</x:v>
      </x:c>
      <x:c r="M72" s="24" t="str">
        <x:v>representation_discrimination_gate</x:v>
      </x:c>
      <x:c r="N72" s="24" t="str">
        <x:v>The Palindrome / 12321 line</x:v>
      </x:c>
      <x:c r="O72" s="24" t="str">
        <x:v>decimal-palindromic-square enrichment</x:v>
      </x:c>
      <x:c r="P72" s="24" t="str">
        <x:v>Independent recomputation reproduced the frozen PASS. Boundary qualification: target 10001 used control 10000 from the inspected predecessor range; excluding that triplet still passes at 12/1797 versus 0/3594. Local self-attested seal only. Decimal representation gate; no universal or physical claim.</x:v>
      </x:c>
      <x:c r="Q72" s="24" t="str">
        <x:v>f8a4608bcd87652a2ba1b2aab60ba0b4b1a3d01813e558f9ea654d7e2a02d749</x:v>
      </x:c>
    </x:row>
  </x:sheetData>
  <x:pageMargins left="0.7" right="0.7" top="0.75" bottom="0.75" header="0.3" footer="0.3"/>
  <x:tableParts count="1">
    <x:tablePart xmlns:r="http://schemas.openxmlformats.org/officeDocument/2006/relationships" r:id="R74848c571ca74ca9"/>
  </x:tableParts>
</x:worksheet>
</file>

<file path=xl/worksheets/sheet3.xml><?xml version="1.0" encoding="utf-8"?>
<x:worksheet xmlns:x="http://schemas.openxmlformats.org/spreadsheetml/2006/main">
  <x:sheetPr>
    <x:tabColor rgb="FF1570EF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6" hidden="0" customWidth="1"/>
    <x:col min="2" max="2" width="27" hidden="0" customWidth="1"/>
    <x:col min="3" max="3" width="27" hidden="0" customWidth="1"/>
    <x:col min="4" max="4" width="27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GLB Geometry Extraction</x:v>
      </x:c>
    </x:row>
    <x:row r="4">
      <x:c r="A4" s="20" t="str">
        <x:v>Source files remain external. This sheet stores file name, hash, scene counts, bounds, and screened orientation ranges.</x:v>
      </x:c>
    </x:row>
    <x:row r="5">
      <x:c r="A5" s="15" t="str">
        <x:v>asset_id</x:v>
      </x:c>
      <x:c r="B5" s="15" t="str">
        <x:v>source_collection</x:v>
      </x:c>
      <x:c r="C5" s="15" t="str">
        <x:v>file_name</x:v>
      </x:c>
      <x:c r="D5" s="15" t="str">
        <x:v>evidence_class</x:v>
      </x:c>
      <x:c r="E5" s="15" t="str">
        <x:v>sha256</x:v>
      </x:c>
      <x:c r="F5" s="15" t="str">
        <x:v>bytes</x:v>
      </x:c>
      <x:c r="G5" s="15" t="str">
        <x:v>nodes</x:v>
      </x:c>
      <x:c r="H5" s="15" t="str">
        <x:v>meshes</x:v>
      </x:c>
      <x:c r="I5" s="15" t="str">
        <x:v>materials</x:v>
      </x:c>
      <x:c r="J5" s="15" t="str">
        <x:v>animations</x:v>
      </x:c>
      <x:c r="K5" s="15" t="str">
        <x:v>animation_channels</x:v>
      </x:c>
      <x:c r="L5" s="15" t="str">
        <x:v>candidate_vectors</x:v>
      </x:c>
      <x:c r="M5" s="15" t="str">
        <x:v>bbox_x</x:v>
      </x:c>
      <x:c r="N5" s="15" t="str">
        <x:v>bbox_y</x:v>
      </x:c>
      <x:c r="O5" s="15" t="str">
        <x:v>bbox_z</x:v>
      </x:c>
      <x:c r="P5" s="15" t="str">
        <x:v>azimuth_min_deg</x:v>
      </x:c>
      <x:c r="Q5" s="15" t="str">
        <x:v>azimuth_max_deg</x:v>
      </x:c>
      <x:c r="R5" s="15" t="str">
        <x:v>elevation_min_deg</x:v>
      </x:c>
      <x:c r="S5" s="15" t="str">
        <x:v>elevation_max_deg</x:v>
      </x:c>
      <x:c r="T5" s="15" t="str">
        <x:v>semantic_boundary</x:v>
      </x:c>
    </x:row>
    <x:row r="6">
      <x:c r="A6" s="16" t="str">
        <x:v>GLB-CW-V3</x:v>
      </x:c>
      <x:c r="B6" s="16" t="str">
        <x:v>Clockwork reproducible reference</x:v>
      </x:c>
      <x:c r="C6" s="16" t="str">
        <x:v>nexah_clockwork_orange_v3_qwarp_resolution.glb</x:v>
      </x:c>
      <x:c r="D6" s="16" t="str">
        <x:v>VERIFIED_SOURCE_TO_GLB</x:v>
      </x:c>
      <x:c r="E6" s="16" t="str">
        <x:v>2bb73c6d0ddb24abf3b2be268a7f3f92ab2a673e35d9a3ad8501db2c9efee389</x:v>
      </x:c>
      <x:c r="F6" s="22" t="n">
        <x:v>456424</x:v>
      </x:c>
      <x:c r="G6" s="22" t="n">
        <x:v>1070</x:v>
      </x:c>
      <x:c r="H6" s="22" t="n">
        <x:v>27</x:v>
      </x:c>
      <x:c r="I6" s="22" t="n">
        <x:v>13</x:v>
      </x:c>
      <x:c r="J6" s="22" t="n">
        <x:v>1</x:v>
      </x:c>
      <x:c r="K6" s="22" t="n">
        <x:v>9</x:v>
      </x:c>
      <x:c r="L6" s="22" t="n">
        <x:v>24</x:v>
      </x:c>
      <x:c r="M6" s="22" t="n">
        <x:v>16.680000004172324</x:v>
      </x:c>
      <x:c r="N6" s="22" t="n">
        <x:v>16.32000000476837</x:v>
      </x:c>
      <x:c r="O6" s="22" t="n">
        <x:v>1.9699999940395356</x:v>
      </x:c>
      <x:c r="P6" s="22" t="n">
        <x:v>0</x:v>
      </x:c>
      <x:c r="Q6" s="22" t="n">
        <x:v>278.7096774193548</x:v>
      </x:c>
      <x:c r="R6" s="22" t="n">
        <x:v>8.008361456690736</x:v>
      </x:c>
      <x:c r="S6" s="22" t="n">
        <x:v>8.008361456690738</x:v>
      </x:c>
      <x:c r="T6" s="16" t="str">
        <x:v>Structural extraction only; node names and angles are candidate metadata, not validated semantics.</x:v>
      </x:c>
    </x:row>
    <x:row r="7">
      <x:c r="A7" s="16" t="str">
        <x:v>GLB-CW-V4</x:v>
      </x:c>
      <x:c r="B7" s="16" t="str">
        <x:v>Clockwork reproducible reference</x:v>
      </x:c>
      <x:c r="C7" s="16" t="str">
        <x:v>nexah_clockwork_orange_v4_triple19_bridge.glb</x:v>
      </x:c>
      <x:c r="D7" s="16" t="str">
        <x:v>VERIFIED_SOURCE_TO_GLB</x:v>
      </x:c>
      <x:c r="E7" s="16" t="str">
        <x:v>1f712ee8a304463c67d5be7750070bd2a295a9a7a49aec2a4af19219f27dca19</x:v>
      </x:c>
      <x:c r="F7" s="22" t="n">
        <x:v>487324</x:v>
      </x:c>
      <x:c r="G7" s="22" t="n">
        <x:v>1181</x:v>
      </x:c>
      <x:c r="H7" s="22" t="n">
        <x:v>35</x:v>
      </x:c>
      <x:c r="I7" s="22" t="n">
        <x:v>13</x:v>
      </x:c>
      <x:c r="J7" s="22" t="n">
        <x:v>1</x:v>
      </x:c>
      <x:c r="K7" s="22" t="n">
        <x:v>12</x:v>
      </x:c>
      <x:c r="L7" s="22" t="n">
        <x:v>24</x:v>
      </x:c>
      <x:c r="M7" s="22" t="n">
        <x:v>16.680000004172324</x:v>
      </x:c>
      <x:c r="N7" s="22" t="n">
        <x:v>16.32000000476837</x:v>
      </x:c>
      <x:c r="O7" s="22" t="n">
        <x:v>2.172499998509884</x:v>
      </x:c>
      <x:c r="P7" s="22" t="n">
        <x:v>0</x:v>
      </x:c>
      <x:c r="Q7" s="22" t="n">
        <x:v>278.7096774193548</x:v>
      </x:c>
      <x:c r="R7" s="22" t="n">
        <x:v>8.008361456690736</x:v>
      </x:c>
      <x:c r="S7" s="22" t="n">
        <x:v>8.008361456690738</x:v>
      </x:c>
      <x:c r="T7" s="16" t="str">
        <x:v>Structural extraction only; node names and angles are candidate metadata, not validated semantics.</x:v>
      </x:c>
    </x:row>
    <x:row r="8">
      <x:c r="A8" s="16" t="str">
        <x:v>GLB-CW-V5</x:v>
      </x:c>
      <x:c r="B8" s="16" t="str">
        <x:v>Clockwork reproducible reference</x:v>
      </x:c>
      <x:c r="C8" s="16" t="str">
        <x:v>nexah_crown_aperture_phase_flip_v5.glb</x:v>
      </x:c>
      <x:c r="D8" s="16" t="str">
        <x:v>VERIFIED_SOURCE_TO_GLB</x:v>
      </x:c>
      <x:c r="E8" s="16" t="str">
        <x:v>f4e08add47c8e10340932635203fd5361ab5db475ffc85ce5f49057eed3909b3</x:v>
      </x:c>
      <x:c r="F8" s="22" t="n">
        <x:v>772192</x:v>
      </x:c>
      <x:c r="G8" s="22" t="n">
        <x:v>1215</x:v>
      </x:c>
      <x:c r="H8" s="22" t="n">
        <x:v>45</x:v>
      </x:c>
      <x:c r="I8" s="22" t="n">
        <x:v>17</x:v>
      </x:c>
      <x:c r="J8" s="22" t="n">
        <x:v>1</x:v>
      </x:c>
      <x:c r="K8" s="22" t="n">
        <x:v>18</x:v>
      </x:c>
      <x:c r="L8" s="22" t="n">
        <x:v>24</x:v>
      </x:c>
      <x:c r="M8" s="22" t="n">
        <x:v>16.680000004172324</x:v>
      </x:c>
      <x:c r="N8" s="22" t="n">
        <x:v>16.32000000476837</x:v>
      </x:c>
      <x:c r="O8" s="22" t="n">
        <x:v>15.640000343322754</x:v>
      </x:c>
      <x:c r="P8" s="22" t="n">
        <x:v>0</x:v>
      </x:c>
      <x:c r="Q8" s="22" t="n">
        <x:v>278.7096774193548</x:v>
      </x:c>
      <x:c r="R8" s="22" t="n">
        <x:v>8.008361456690736</x:v>
      </x:c>
      <x:c r="S8" s="22" t="n">
        <x:v>8.008361456690738</x:v>
      </x:c>
      <x:c r="T8" s="16" t="str">
        <x:v>Structural extraction only; node names and angles are candidate metadata, not validated semantics.</x:v>
      </x:c>
    </x:row>
    <x:row r="9">
      <x:c r="A9" s="16" t="str">
        <x:v>GLB-CW-V6</x:v>
      </x:c>
      <x:c r="B9" s="16" t="str">
        <x:v>Clockwork reproducible reference</x:v>
      </x:c>
      <x:c r="C9" s="16" t="str">
        <x:v>nexah_oil_ris_orbital_closure_v6.glb</x:v>
      </x:c>
      <x:c r="D9" s="16" t="str">
        <x:v>VERIFIED_SOURCE_TO_GLB</x:v>
      </x:c>
      <x:c r="E9" s="16" t="str">
        <x:v>e7728e6ee483abb40aef7bcf174d5c363cd5177db5fae0e16e722977a43cddd8</x:v>
      </x:c>
      <x:c r="F9" s="22" t="n">
        <x:v>1009204</x:v>
      </x:c>
      <x:c r="G9" s="22" t="n">
        <x:v>1253</x:v>
      </x:c>
      <x:c r="H9" s="22" t="n">
        <x:v>56</x:v>
      </x:c>
      <x:c r="I9" s="22" t="n">
        <x:v>17</x:v>
      </x:c>
      <x:c r="J9" s="22" t="n">
        <x:v>1</x:v>
      </x:c>
      <x:c r="K9" s="22" t="n">
        <x:v>21</x:v>
      </x:c>
      <x:c r="L9" s="22" t="n">
        <x:v>24</x:v>
      </x:c>
      <x:c r="M9" s="22" t="n">
        <x:v>16.680000004172324</x:v>
      </x:c>
      <x:c r="N9" s="22" t="n">
        <x:v>16.32000000476837</x:v>
      </x:c>
      <x:c r="O9" s="22" t="n">
        <x:v>15.640000343322754</x:v>
      </x:c>
      <x:c r="P9" s="22" t="n">
        <x:v>0</x:v>
      </x:c>
      <x:c r="Q9" s="22" t="n">
        <x:v>315</x:v>
      </x:c>
      <x:c r="R9" s="22" t="n">
        <x:v>8.008361456690736</x:v>
      </x:c>
      <x:c r="S9" s="22" t="n">
        <x:v>72.13114387390227</x:v>
      </x:c>
      <x:c r="T9" s="16" t="str">
        <x:v>Structural extraction only; node names and angles are candidate metadata, not validated semantics.</x:v>
      </x:c>
    </x:row>
    <x:row r="10">
      <x:c r="A10" s="16" t="str">
        <x:v>GLB-CW-V7</x:v>
      </x:c>
      <x:c r="B10" s="16" t="str">
        <x:v>Clockwork reproducible reference</x:v>
      </x:c>
      <x:c r="C10" s="16" t="str">
        <x:v>nexah_pq_conjugate_orbit_v7.glb</x:v>
      </x:c>
      <x:c r="D10" s="16" t="str">
        <x:v>VERIFIED_SOURCE_TO_GLB</x:v>
      </x:c>
      <x:c r="E10" s="16" t="str">
        <x:v>c390d4c6a6e1054116cfdd2c96953d810a333e97f654d815b2e1fe47cd60ecae</x:v>
      </x:c>
      <x:c r="F10" s="22" t="n">
        <x:v>1118500</x:v>
      </x:c>
      <x:c r="G10" s="22" t="n">
        <x:v>1270</x:v>
      </x:c>
      <x:c r="H10" s="22" t="n">
        <x:v>59</x:v>
      </x:c>
      <x:c r="I10" s="22" t="n">
        <x:v>18</x:v>
      </x:c>
      <x:c r="J10" s="22" t="n">
        <x:v>1</x:v>
      </x:c>
      <x:c r="K10" s="22" t="n">
        <x:v>23</x:v>
      </x:c>
      <x:c r="L10" s="22" t="n">
        <x:v>24</x:v>
      </x:c>
      <x:c r="M10" s="22" t="n">
        <x:v>16.680000004172324</x:v>
      </x:c>
      <x:c r="N10" s="22" t="n">
        <x:v>16.32000000476837</x:v>
      </x:c>
      <x:c r="O10" s="22" t="n">
        <x:v>15.661040387121135</x:v>
      </x:c>
      <x:c r="P10" s="22" t="n">
        <x:v>0</x:v>
      </x:c>
      <x:c r="Q10" s="22" t="n">
        <x:v>315</x:v>
      </x:c>
      <x:c r="R10" s="22" t="n">
        <x:v>8.008361456690736</x:v>
      </x:c>
      <x:c r="S10" s="22" t="n">
        <x:v>72.26091365491351</x:v>
      </x:c>
      <x:c r="T10" s="16" t="str">
        <x:v>Structural extraction only; node names and angles are candidate metadata, not validated semantics.</x:v>
      </x:c>
    </x:row>
    <x:row r="11">
      <x:c r="A11" s="16" t="str">
        <x:v>GLB-ORBIT</x:v>
      </x:c>
      <x:c r="B11" s="16" t="str">
        <x:v>GLB 2 catalogue</x:v>
      </x:c>
      <x:c r="C11" s="16" t="str">
        <x:v>Orbital_Resonance_Lab.glb</x:v>
      </x:c>
      <x:c r="D11" s="16" t="str">
        <x:v>CATALOGUED_ASSET_SOURCE_UNVERIFIED</x:v>
      </x:c>
      <x:c r="E11" s="16" t="str">
        <x:v>7ca796ebba3414d5859c569d589dda12116a6d7be514dffb8869d1c447a38f71</x:v>
      </x:c>
      <x:c r="F11" s="22" t="n">
        <x:v>1145512</x:v>
      </x:c>
      <x:c r="G11" s="22" t="n">
        <x:v>3825</x:v>
      </x:c>
      <x:c r="H11" s="22" t="n">
        <x:v>3952</x:v>
      </x:c>
      <x:c r="I11" s="22" t="n">
        <x:v>0</x:v>
      </x:c>
      <x:c r="J11" s="22" t="n">
        <x:v>0</x:v>
      </x:c>
      <x:c r="K11" s="22" t="n">
        <x:v>0</x:v>
      </x:c>
      <x:c r="L11" s="22" t="n">
        <x:v>24</x:v>
      </x:c>
      <x:c r="M11" s="22" t="n">
        <x:v>12.405301574707032</x:v>
      </x:c>
      <x:c r="N11" s="22" t="n">
        <x:v>1.7023015747070311</x:v>
      </x:c>
      <x:c r="O11" s="22" t="n">
        <x:v>12.405301574707032</x:v>
      </x:c>
      <x:c r="P11" s="22" t="n">
        <x:v>0</x:v>
      </x:c>
      <x:c r="Q11" s="22" t="n">
        <x:v>180</x:v>
      </x:c>
      <x:c r="R11" s="22" t="n">
        <x:v>7.346938775510203</x:v>
      </x:c>
      <x:c r="S11" s="22" t="n">
        <x:v>87.06122448979593</x:v>
      </x:c>
      <x:c r="T11" s="16" t="str">
        <x:v>Structural extraction only; node names and angles are candidate metadata, not validated semantics.</x:v>
      </x:c>
    </x:row>
    <x:row r="12">
      <x:c r="A12" s="16" t="str">
        <x:v>GLB-QUAT</x:v>
      </x:c>
      <x:c r="B12" s="16" t="str">
        <x:v>GLB 2 catalogue</x:v>
      </x:c>
      <x:c r="C12" s="16" t="str">
        <x:v>Quaternion_Playground.glb</x:v>
      </x:c>
      <x:c r="D12" s="16" t="str">
        <x:v>CATALOGUED_ASSET_SOURCE_UNVERIFIED</x:v>
      </x:c>
      <x:c r="E12" s="16" t="str">
        <x:v>5bfa0acf79d0e91b5c0804d1e4bebfdf4a1a6f692f1aca069d04c18d5e7286e9</x:v>
      </x:c>
      <x:c r="F12" s="22" t="n">
        <x:v>3513976</x:v>
      </x:c>
      <x:c r="G12" s="22" t="n">
        <x:v>13226</x:v>
      </x:c>
      <x:c r="H12" s="22" t="n">
        <x:v>13225</x:v>
      </x:c>
      <x:c r="I12" s="22" t="n">
        <x:v>0</x:v>
      </x:c>
      <x:c r="J12" s="22" t="n">
        <x:v>0</x:v>
      </x:c>
      <x:c r="K12" s="22" t="n">
        <x:v>0</x:v>
      </x:c>
      <x:c r="L12" s="22" t="n">
        <x:v>24</x:v>
      </x:c>
      <x:c r="M12" s="22" t="n">
        <x:v>281.80924141127514</x:v>
      </x:c>
      <x:c r="N12" s="22" t="n">
        <x:v>281.80924141127514</x:v>
      </x:c>
      <x:c r="O12" s="22" t="n">
        <x:v>281.80924141127514</x:v>
      </x:c>
      <x:c r="P12" s="22" t="n">
        <x:v>0</x:v>
      </x:c>
      <x:c r="Q12" s="22" t="n">
        <x:v>270</x:v>
      </x:c>
      <x:c r="R12" s="22" t="n">
        <x:v>-90</x:v>
      </x:c>
      <x:c r="S12" s="22" t="n">
        <x:v>90</x:v>
      </x:c>
      <x:c r="T12" s="16" t="str">
        <x:v>Structural extraction only; node names and angles are candidate metadata, not validated semantics.</x:v>
      </x:c>
    </x:row>
    <x:row r="13">
      <x:c r="A13" s="16" t="str">
        <x:v>GLB-PHI</x:v>
      </x:c>
      <x:c r="B13" s="16" t="str">
        <x:v>GLB 2 catalogue</x:v>
      </x:c>
      <x:c r="C13" s="16" t="str">
        <x:v>Phi_Nest_Quasicrystal.glb</x:v>
      </x:c>
      <x:c r="D13" s="16" t="str">
        <x:v>CATALOGUED_ASSET_SOURCE_UNVERIFIED</x:v>
      </x:c>
      <x:c r="E13" s="16" t="str">
        <x:v>84ac25793986827d6bf2c97808f8ef7865efe4691fe941a35544f47644f6c6e3</x:v>
      </x:c>
      <x:c r="F13" s="22" t="n">
        <x:v>1043056</x:v>
      </x:c>
      <x:c r="G13" s="22" t="n">
        <x:v>3973</x:v>
      </x:c>
      <x:c r="H13" s="22" t="n">
        <x:v>3972</x:v>
      </x:c>
      <x:c r="I13" s="22" t="n">
        <x:v>0</x:v>
      </x:c>
      <x:c r="J13" s="22" t="n">
        <x:v>0</x:v>
      </x:c>
      <x:c r="K13" s="22" t="n">
        <x:v>0</x:v>
      </x:c>
      <x:c r="L13" s="22" t="n">
        <x:v>0</x:v>
      </x:c>
      <x:c r="M13" s="22" t="n">
        <x:v>10.255250538360505</x:v>
      </x:c>
      <x:c r="N13" s="22" t="n">
        <x:v>10.290641377670216</x:v>
      </x:c>
      <x:c r="O13" s="22" t="n">
        <x:v>10.39257588172319</x:v>
      </x:c>
      <x:c r="P13" s="22" t="str"/>
      <x:c r="Q13" s="22" t="str"/>
      <x:c r="R13" s="22" t="str"/>
      <x:c r="S13" s="22" t="str"/>
      <x:c r="T13" s="16" t="str">
        <x:v>Structural extraction only; node names and angles are candidate metadata, not validated semantics.</x:v>
      </x:c>
    </x:row>
    <x:row r="14">
      <x:c r="A14" s="16" t="str">
        <x:v>GLB-MUSIC</x:v>
      </x:c>
      <x:c r="B14" s="16" t="str">
        <x:v>GLB 2 catalogue</x:v>
      </x:c>
      <x:c r="C14" s="16" t="str">
        <x:v>Music_Orbit_Resonance_Lab.glb</x:v>
      </x:c>
      <x:c r="D14" s="16" t="str">
        <x:v>CATALOGUED_ASSET_SOURCE_UNVERIFIED</x:v>
      </x:c>
      <x:c r="E14" s="16" t="str">
        <x:v>8a150d641534233eb966d27290b0693ad0bbef543010f3a7d865238219fcd045</x:v>
      </x:c>
      <x:c r="F14" s="22" t="n">
        <x:v>2135340</x:v>
      </x:c>
      <x:c r="G14" s="22" t="n">
        <x:v>7172</x:v>
      </x:c>
      <x:c r="H14" s="22" t="n">
        <x:v>9298</x:v>
      </x:c>
      <x:c r="I14" s="22" t="n">
        <x:v>0</x:v>
      </x:c>
      <x:c r="J14" s="22" t="n">
        <x:v>0</x:v>
      </x:c>
      <x:c r="K14" s="22" t="n">
        <x:v>0</x:v>
      </x:c>
      <x:c r="L14" s="22" t="n">
        <x:v>24</x:v>
      </x:c>
      <x:c r="M14" s="22" t="n">
        <x:v>11.901092098795562</x:v>
      </x:c>
      <x:c r="N14" s="22" t="n">
        <x:v>1.7013015747070312</x:v>
      </x:c>
      <x:c r="O14" s="22" t="n">
        <x:v>11.701301574707031</x:v>
      </x:c>
      <x:c r="P14" s="22" t="n">
        <x:v>0</x:v>
      </x:c>
      <x:c r="Q14" s="22" t="n">
        <x:v>180</x:v>
      </x:c>
      <x:c r="R14" s="22" t="n">
        <x:v>-89.99999999999999</x:v>
      </x:c>
      <x:c r="S14" s="22" t="n">
        <x:v>90</x:v>
      </x:c>
      <x:c r="T14" s="16" t="str">
        <x:v>Structural extraction only; node names and angles are candidate metadata, not validated semantics.</x:v>
      </x:c>
    </x:row>
    <x:row r="15">
      <x:c r="A15" s="16" t="str">
        <x:v>GLB-LENS</x:v>
      </x:c>
      <x:c r="B15" s="16" t="str">
        <x:v>GLB 2 catalogue</x:v>
      </x:c>
      <x:c r="C15" s="16" t="str">
        <x:v>Gravitational_Lensing_Box.glb</x:v>
      </x:c>
      <x:c r="D15" s="16" t="str">
        <x:v>CATALOGUED_ASSET_SOURCE_UNVERIFIED</x:v>
      </x:c>
      <x:c r="E15" s="16" t="str">
        <x:v>f17d5df6a0d84f54c61bef52cf146083a8ca3188bfd927c152ba72699abdf5a9</x:v>
      </x:c>
      <x:c r="F15" s="22" t="n">
        <x:v>2146672</x:v>
      </x:c>
      <x:c r="G15" s="22" t="n">
        <x:v>3499</x:v>
      </x:c>
      <x:c r="H15" s="22" t="n">
        <x:v>13364</x:v>
      </x:c>
      <x:c r="I15" s="22" t="n">
        <x:v>0</x:v>
      </x:c>
      <x:c r="J15" s="22" t="n">
        <x:v>0</x:v>
      </x:c>
      <x:c r="K15" s="22" t="n">
        <x:v>0</x:v>
      </x:c>
      <x:c r="L15" s="22" t="n">
        <x:v>24</x:v>
      </x:c>
      <x:c r="M15" s="22" t="n">
        <x:v>12.701301574707033</x:v>
      </x:c>
      <x:c r="N15" s="22" t="n">
        <x:v>1.7213015747070313</x:v>
      </x:c>
      <x:c r="O15" s="22" t="n">
        <x:v>12.701301574707033</x:v>
      </x:c>
      <x:c r="P15" s="22" t="n">
        <x:v>0</x:v>
      </x:c>
      <x:c r="Q15" s="22" t="n">
        <x:v>180</x:v>
      </x:c>
      <x:c r="R15" s="22" t="n">
        <x:v>64.35899417569472</x:v>
      </x:c>
      <x:c r="S15" s="22" t="n">
        <x:v>64.40069983178022</x:v>
      </x:c>
      <x:c r="T15" s="16" t="str">
        <x:v>Structural extraction only; node names and angles are candidate metadata, not validated semantics.</x:v>
      </x:c>
    </x:row>
    <x:row r="16">
      <x:c r="A16" s="16" t="str">
        <x:v>GLB-PERIODIC</x:v>
      </x:c>
      <x:c r="B16" s="16" t="str">
        <x:v>Science Lab repository</x:v>
      </x:c>
      <x:c r="C16" s="16" t="str">
        <x:v>periodic_clockwork_3d.glb</x:v>
      </x:c>
      <x:c r="D16" s="16" t="str">
        <x:v>REPO_LOCAL_SOURCE_UNRESOLVED</x:v>
      </x:c>
      <x:c r="E16" s="16" t="str">
        <x:v>c426a193b859e7f81966d550a094c687869274e11598edcc82fca7c1213d581a</x:v>
      </x:c>
      <x:c r="F16" s="22" t="n">
        <x:v>96644</x:v>
      </x:c>
      <x:c r="G16" s="22" t="n">
        <x:v>2</x:v>
      </x:c>
      <x:c r="H16" s="22" t="n">
        <x:v>1</x:v>
      </x:c>
      <x:c r="I16" s="22" t="n">
        <x:v>0</x:v>
      </x:c>
      <x:c r="J16" s="22" t="n">
        <x:v>0</x:v>
      </x:c>
      <x:c r="K16" s="22" t="n">
        <x:v>0</x:v>
      </x:c>
      <x:c r="L16" s="22" t="n">
        <x:v>0</x:v>
      </x:c>
      <x:c r="M16" s="22" t="n">
        <x:v>3</x:v>
      </x:c>
      <x:c r="N16" s="22" t="n">
        <x:v>1.5999999642372131</x:v>
      </x:c>
      <x:c r="O16" s="22" t="n">
        <x:v>2.5</x:v>
      </x:c>
      <x:c r="P16" s="22" t="str"/>
      <x:c r="Q16" s="22" t="str"/>
      <x:c r="R16" s="22" t="str"/>
      <x:c r="S16" s="22" t="str"/>
      <x:c r="T16" s="16" t="str">
        <x:v>Structural extraction only; node names and angles are candidate metadata, not validated semantics.</x:v>
      </x:c>
    </x:row>
  </x:sheetData>
  <x:pageMargins left="0.7" right="0.7" top="0.75" bottom="0.75" header="0.3" footer="0.3"/>
  <x:tableParts count="1">
    <x:tablePart xmlns:r="http://schemas.openxmlformats.org/officeDocument/2006/relationships" r:id="R54e47f08739d46ff"/>
  </x:tableParts>
</x:worksheet>
</file>

<file path=xl/worksheets/sheet4.xml><?xml version="1.0" encoding="utf-8"?>
<x:worksheet xmlns:x="http://schemas.openxmlformats.org/spreadsheetml/2006/main">
  <x:sheetPr>
    <x:tabColor rgb="FF7F56D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OLS and Legacy-Term Decoder Map</x:v>
      </x:c>
    </x:row>
    <x:row r="4">
      <x:c r="A4" s="20" t="str">
        <x:v>Letters, syllables, glyphs, numerals, and numbers remain separate typed layers until a source-specific decoder and operator are declared.</x:v>
      </x:c>
    </x:row>
    <x:row r="5">
      <x:c r="A5" s="15" t="str">
        <x:v>token</x:v>
      </x:c>
      <x:c r="B5" s="15" t="str">
        <x:v>class</x:v>
      </x:c>
      <x:c r="C5" s="15" t="str">
        <x:v>neutral_reading</x:v>
      </x:c>
      <x:c r="D5" s="15" t="str">
        <x:v>decoder_required</x:v>
      </x:c>
      <x:c r="E5" s="15" t="str">
        <x:v>allowed_use</x:v>
      </x:c>
      <x:c r="F5" s="15" t="str">
        <x:v>prohibited_inference</x:v>
      </x:c>
    </x:row>
    <x:row r="6">
      <x:c r="A6" s="16" t="str">
        <x:v>OBSERVE→REPRESENT→COMPARE→ORIENT→EXPLAIN</x:v>
      </x:c>
      <x:c r="B6" s="16" t="str">
        <x:v>OLS semantic order</x:v>
      </x:c>
      <x:c r="C6" s="16" t="str">
        <x:v>five primitive responsibilities</x:v>
      </x:c>
      <x:c r="D6" s="16" t="str">
        <x:v>OLS 1.0</x:v>
      </x:c>
      <x:c r="E6" s="16" t="str">
        <x:v>semantic routing</x:v>
      </x:c>
      <x:c r="F6" s="16" t="str">
        <x:v>schedule, causality, authorization, or execution</x:v>
      </x:c>
    </x:row>
    <x:row r="7">
      <x:c r="A7" s="16" t="str">
        <x:v>I/L/A/U</x:v>
      </x:c>
      <x:c r="B7" s="16" t="str">
        <x:v>audit codebook</x:v>
      </x:c>
      <x:c r="C7" s="16" t="str">
        <x:v>retained / lost / introduced / unresolved</x:v>
      </x:c>
      <x:c r="D7" s="16" t="str">
        <x:v>declared comparison</x:v>
      </x:c>
      <x:c r="E7" s="16" t="str">
        <x:v>representation audit</x:v>
      </x:c>
      <x:c r="F7" s="16" t="str">
        <x:v>substances or automatic causal explanation</x:v>
      </x:c>
    </x:row>
    <x:row r="8">
      <x:c r="A8" s="16" t="str">
        <x:v>FIELD / FORM</x:v>
      </x:c>
      <x:c r="B8" s="16" t="str">
        <x:v>expression vocabulary</x:v>
      </x:c>
      <x:c r="C8" s="16" t="str">
        <x:v>carrier/domain and declared morphology view</x:v>
      </x:c>
      <x:c r="D8" s="16" t="str">
        <x:v>source-local definition</x:v>
      </x:c>
      <x:c r="E8" s="16" t="str">
        <x:v>index and label</x:v>
      </x:c>
      <x:c r="F8" s="16" t="str">
        <x:v>universal physical field or intrinsic glyph meaning</x:v>
      </x:c>
    </x:row>
    <x:row r="9">
      <x:c r="A9" s="16" t="str">
        <x:v>glyph→number</x:v>
      </x:c>
      <x:c r="B9" s="16" t="str">
        <x:v>registered event link</x:v>
      </x:c>
      <x:c r="C9" s="16" t="str">
        <x:v>typed mapping in an event ledger</x:v>
      </x:c>
      <x:c r="D9" s="16" t="str">
        <x:v>explicit glyph and number decoder</x:v>
      </x:c>
      <x:c r="E9" s="16" t="str">
        <x:v>traceable ACR43 record</x:v>
      </x:c>
      <x:c r="F9" s="16" t="str">
        <x:v>letters generate numbers</x:v>
      </x:c>
    </x:row>
    <x:row r="10">
      <x:c r="A10" s="16" t="str">
        <x:v>syllable / letter</x:v>
      </x:c>
      <x:c r="B10" s="16" t="str">
        <x:v>legacy expression token</x:v>
      </x:c>
      <x:c r="C10" s="16" t="str">
        <x:v>source-local mnemonic or segmentation</x:v>
      </x:c>
      <x:c r="D10" s="16" t="str">
        <x:v>explicit source rule</x:v>
      </x:c>
      <x:c r="E10" s="16" t="str">
        <x:v>search key and provenance</x:v>
      </x:c>
      <x:c r="F10" s="16" t="str">
        <x:v>canonical operator or mathematical value</x:v>
      </x:c>
    </x:row>
    <x:row r="11">
      <x:c r="A11" s="16" t="str">
        <x:v>Cut</x:v>
      </x:c>
      <x:c r="B11" s="16" t="str">
        <x:v>controlled glossary term</x:v>
      </x:c>
      <x:c r="C11" s="16" t="str">
        <x:v>declared selection entering a view or record</x:v>
      </x:c>
      <x:c r="D11" s="16" t="str">
        <x:v>carrier, address, inclusion rule</x:v>
      </x:c>
      <x:c r="E11" s="16" t="str">
        <x:v>binder input boundary</x:v>
      </x:c>
      <x:c r="F11" s="16" t="str">
        <x:v>destruction of source</x:v>
      </x:c>
    </x:row>
    <x:row r="12">
      <x:c r="A12" s="16" t="str">
        <x:v>Seam</x:v>
      </x:c>
      <x:c r="B12" s="16" t="str">
        <x:v>controlled glossary term</x:v>
      </x:c>
      <x:c r="C12" s="16" t="str">
        <x:v>boundary/correspondence for joining or comparison</x:v>
      </x:c>
      <x:c r="D12" s="16" t="str">
        <x:v>two declared local records</x:v>
      </x:c>
      <x:c r="E12" s="16" t="str">
        <x:v>registration boundary</x:v>
      </x:c>
      <x:c r="F12" s="16" t="str">
        <x:v>global identity</x:v>
      </x:c>
    </x:row>
    <x:row r="13">
      <x:c r="A13" s="16" t="str">
        <x:v>Residual</x:v>
      </x:c>
      <x:c r="B13" s="16" t="str">
        <x:v>controlled glossary term</x:v>
      </x:c>
      <x:c r="C13" s="16" t="str">
        <x:v>typed mismatch after declared comparison</x:v>
      </x:c>
      <x:c r="D13" s="16" t="str">
        <x:v>metric and tolerance</x:v>
      </x:c>
      <x:c r="E13" s="16" t="str">
        <x:v>return evidence</x:v>
      </x:c>
      <x:c r="F13" s="16" t="str">
        <x:v>substance, failure, or error by itself</x:v>
      </x:c>
    </x:row>
    <x:row r="14">
      <x:c r="A14" s="16" t="str">
        <x:v>Orientation key</x:v>
      </x:c>
      <x:c r="B14" s="16" t="str">
        <x:v>controlled glossary term</x:v>
      </x:c>
      <x:c r="C14" s="16" t="str">
        <x:v>side/provenance information disambiguating a many-to-one projection</x:v>
      </x:c>
      <x:c r="D14" s="16" t="str">
        <x:v>projection and branch rule</x:v>
      </x:c>
      <x:c r="E14" s="16" t="str">
        <x:v>ACR35 inverse support</x:v>
      </x:c>
      <x:c r="F14" s="16" t="str">
        <x:v>recovery of information never recorded</x:v>
      </x:c>
    </x:row>
    <x:row r="15">
      <x:c r="A15" s="16" t="str">
        <x:v>Shadow / reflection / refraction</x:v>
      </x:c>
      <x:c r="B15" s="16" t="str">
        <x:v>expression and geometry vocabulary</x:v>
      </x:c>
      <x:c r="C15" s="16" t="str">
        <x:v>projection, occlusion, symmetry, or direction change under a declared model</x:v>
      </x:c>
      <x:c r="D15" s="16" t="str">
        <x:v>geometric operator</x:v>
      </x:c>
      <x:c r="E15" s="16" t="str">
        <x:v>hypothesis label</x:v>
      </x:c>
      <x:c r="F15" s="16" t="str">
        <x:v>physical optics without measured optical carrier</x:v>
      </x:c>
    </x:row>
    <x:row r="16" ht="46" customHeight="1">
      <x:c r="A16" s="24" t="str">
        <x:v>XV</x:v>
      </x:c>
      <x:c r="B16" s="24" t="str">
        <x:v>typed Roman/OLS token</x:v>
      </x:c>
      <x:c r="C16" s="24" t="str">
        <x:v>Roman 15; optional local X=CROSS, V=SPLIT mnemonic</x:v>
      </x:c>
      <x:c r="D16" s="24" t="str">
        <x:v>ROMAN plus source-local OLS glyph decoder</x:v>
      </x:c>
      <x:c r="E16" s="24" t="str">
        <x:v>search and preregistered mnemonic</x:v>
      </x:c>
      <x:c r="F16" s="24" t="str">
        <x:v>intrinsic Roman geometry or physical join/split law</x:v>
      </x:c>
    </x:row>
    <x:row r="17" ht="46" customHeight="1">
      <x:c r="A17" s="24" t="str">
        <x:v>(2,3) / p₂,p₃</x:v>
      </x:c>
      <x:c r="B17" s="24" t="str">
        <x:v>prime-index address</x:v>
      </x:c>
      <x:c r="C17" s="24" t="str">
        <x:v>indices 2 and 3 address prime values 3 and 5</x:v>
      </x:c>
      <x:c r="D17" s="24" t="str">
        <x:v>prime indexing convention</x:v>
      </x:c>
      <x:c r="E17" s="24" t="str">
        <x:v>typed address and product p₂×p₃=15</x:v>
      </x:c>
      <x:c r="F17" s="24" t="str">
        <x:v>identity with decimal string 23</x:v>
      </x:c>
    </x:row>
    <x:row r="18" ht="46" customHeight="1">
      <x:c r="A18" s="24" t="str">
        <x:v>CONCAT10</x:v>
      </x:c>
      <x:c r="B18" s="24" t="str">
        <x:v>representation operator</x:v>
      </x:c>
      <x:c r="C18" s="24" t="str">
        <x:v>joins decimal strings; CONCAT10(2,3)=23</x:v>
      </x:c>
      <x:c r="D18" s="24" t="str">
        <x:v>base and tokenization</x:v>
      </x:c>
      <x:c r="E18" s="24" t="str">
        <x:v>declared address encoding</x:v>
      </x:c>
      <x:c r="F18" s="24" t="str">
        <x:v>addition, multiplication or base-independent identity</x:v>
      </x:c>
    </x:row>
    <x:row r="19" ht="46" customHeight="1">
      <x:c r="A19" s="24" t="str">
        <x:v>JOIN→CROSS→SPLIT</x:v>
      </x:c>
      <x:c r="B19" s="24" t="str">
        <x:v>relational sequence</x:v>
      </x:c>
      <x:c r="C19" s="24" t="str">
        <x:v>align declared records, detect a crossing, then retain outgoing branches</x:v>
      </x:c>
      <x:c r="D19" s="24" t="str">
        <x:v>carrier, alignment, interpolation and threshold</x:v>
      </x:c>
      <x:c r="E19" s="24" t="str">
        <x:v>candidate binder event</x:v>
      </x:c>
      <x:c r="F19" s="24" t="str">
        <x:v>universal recurrence from visual resemblance</x:v>
      </x:c>
    </x:row>
    <x:row r="20" ht="46" customHeight="1">
      <x:c r="A20" s="24" t="str">
        <x:v>69 / 6↔9</x:v>
      </x:c>
      <x:c r="B20" s="24" t="str">
        <x:v>legacy orientation glyph</x:v>
      </x:c>
      <x:c r="C20" s="24" t="str">
        <x:v>ordered digit pair; exact digit sum 15; optional counter-orientation mnemonic</x:v>
      </x:c>
      <x:c r="D20" s="24" t="str">
        <x:v>base, digit operation and orientation map</x:v>
      </x:c>
      <x:c r="E20" s="24" t="str">
        <x:v>search key and return-loop hypothesis</x:v>
      </x:c>
      <x:c r="F20" s="24" t="str">
        <x:v>alternating current without measured periodic sign reversal</x:v>
      </x:c>
    </x:row>
    <x:row r="21" ht="46" customHeight="1">
      <x:c r="A21" s="24" t="str">
        <x:v>PAL10 / palindrome line</x:v>
      </x:c>
      <x:c r="B21" s="24" t="str">
        <x:v>representation predicate and graph</x:v>
      </x:c>
      <x:c r="C21" s="24" t="str">
        <x:v>decimal reversal equality under a declared generator</x:v>
      </x:c>
      <x:c r="D21" s="24" t="str">
        <x:v>base, digit string and generator</x:v>
      </x:c>
      <x:c r="E21" s="24" t="str">
        <x:v>bounded representation audit</x:v>
      </x:c>
      <x:c r="F21" s="24" t="str">
        <x:v>numeric equality, base-independent invariant or one line containing all palindromes</x:v>
      </x:c>
    </x:row>
    <x:row r="22" ht="46" customHeight="1">
      <x:c r="A22" s="24" t="str">
        <x:v>MULTISET_DISTANCE10</x:v>
      </x:c>
      <x:c r="B22" s="24" t="str">
        <x:v>digit-count metric</x:v>
      </x:c>
      <x:c r="C22" s="24" t="str">
        <x:v>half the L1 distance between decimal digit-count vectors</x:v>
      </x:c>
      <x:c r="D22" s="24" t="str">
        <x:v>base and digit normalization</x:v>
      </x:c>
      <x:c r="E22" s="24" t="str">
        <x:v>near-anagram control</x:v>
      </x:c>
      <x:c r="F22" s="24" t="str">
        <x:v>numeric distance, transition mechanism or anagram identity</x:v>
      </x:c>
    </x:row>
  </x:sheetData>
  <x:pageMargins left="0.7" right="0.7" top="0.75" bottom="0.75" header="0.3" footer="0.3"/>
  <x:tableParts count="1">
    <x:tablePart xmlns:r="http://schemas.openxmlformats.org/officeDocument/2006/relationships" r:id="R722ab6cfbdce422c"/>
  </x:tableParts>
</x:worksheet>
</file>